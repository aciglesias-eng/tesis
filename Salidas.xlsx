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ih0\Documents\CODIGO\tesis\"/>
    </mc:Choice>
  </mc:AlternateContent>
  <xr:revisionPtr revIDLastSave="0" documentId="13_ncr:1_{B25F4501-37D5-40F4-BAAB-3B9377582E80}" xr6:coauthVersionLast="47" xr6:coauthVersionMax="47" xr10:uidLastSave="{00000000-0000-0000-0000-000000000000}"/>
  <bookViews>
    <workbookView xWindow="-108" yWindow="-108" windowWidth="23256" windowHeight="13176" activeTab="2" xr2:uid="{C4CE93A3-0861-4D2C-B953-37868A8DFB1C}"/>
  </bookViews>
  <sheets>
    <sheet name="T" sheetId="3" r:id="rId1"/>
    <sheet name="Energy_Exergy" sheetId="2" r:id="rId2"/>
    <sheet name="Exergoeconomico" sheetId="5" r:id="rId3"/>
    <sheet name="EXERGO" sheetId="4" r:id="rId4"/>
  </sheet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3" i="2"/>
</calcChain>
</file>

<file path=xl/sharedStrings.xml><?xml version="1.0" encoding="utf-8"?>
<sst xmlns="http://schemas.openxmlformats.org/spreadsheetml/2006/main" count="277" uniqueCount="243">
  <si>
    <t>T [°C]</t>
  </si>
  <si>
    <t>n_ex [%]</t>
  </si>
  <si>
    <t>n_th [%]</t>
  </si>
  <si>
    <t>n_en_PEM [%]</t>
  </si>
  <si>
    <t>n_ex_PEM [%]</t>
  </si>
  <si>
    <t>T_in_PEM [°C]</t>
  </si>
  <si>
    <t>m_H2 [kg/h]</t>
  </si>
  <si>
    <t>m_H2O_in [kg/h]</t>
  </si>
  <si>
    <t>XD Compresor 1 [kW]</t>
  </si>
  <si>
    <t>XD Compresor 2 [kW]</t>
  </si>
  <si>
    <t>XD Turbina 1 [kW]</t>
  </si>
  <si>
    <t>XD Turbina 2 [kW]</t>
  </si>
  <si>
    <t>XD HTR [kW]</t>
  </si>
  <si>
    <t>XD LTR [kW]</t>
  </si>
  <si>
    <t>XD Loss field [kW]</t>
  </si>
  <si>
    <t>XD Cooler [kW]</t>
  </si>
  <si>
    <t>XD Pérdida aire [kW]</t>
  </si>
  <si>
    <t>XD Evaporador 1 [kW]</t>
  </si>
  <si>
    <t>XD Condensador [kW]</t>
  </si>
  <si>
    <t>XD Pérdida agua [kW]</t>
  </si>
  <si>
    <t>Exergía solar aportada [kW]</t>
  </si>
  <si>
    <t>Exergía destruida total [kW]</t>
  </si>
  <si>
    <t>State</t>
  </si>
  <si>
    <t>T [K]</t>
  </si>
  <si>
    <t>P [kPa]</t>
  </si>
  <si>
    <t>h [kJ/kg]</t>
  </si>
  <si>
    <t>s [kJ/kg-K]</t>
  </si>
  <si>
    <t>m [kg/s]</t>
  </si>
  <si>
    <t>16vs</t>
  </si>
  <si>
    <t>6AI</t>
  </si>
  <si>
    <t>6AO1</t>
  </si>
  <si>
    <t>6AO2</t>
  </si>
  <si>
    <t>6AO3</t>
  </si>
  <si>
    <t>6AO</t>
  </si>
  <si>
    <t>6BI</t>
  </si>
  <si>
    <t>15ls</t>
  </si>
  <si>
    <t>15vs</t>
  </si>
  <si>
    <t>C1</t>
  </si>
  <si>
    <t>C2</t>
  </si>
  <si>
    <t>C3</t>
  </si>
  <si>
    <t>Componentes</t>
  </si>
  <si>
    <t>Valor</t>
  </si>
  <si>
    <t>Q_Heater</t>
  </si>
  <si>
    <t>Q_Re-heater</t>
  </si>
  <si>
    <t>Q_HTR</t>
  </si>
  <si>
    <t>Q_LTR</t>
  </si>
  <si>
    <t>Q_Cooler</t>
  </si>
  <si>
    <t>Q_total</t>
  </si>
  <si>
    <t>Q_Evap_etapa1</t>
  </si>
  <si>
    <t>Q_Evap_etapa2</t>
  </si>
  <si>
    <t>Q_Evap_etapa3</t>
  </si>
  <si>
    <t>Q_Evap_total</t>
  </si>
  <si>
    <t>Q_Cond_etapa1</t>
  </si>
  <si>
    <t>Q_Cond_total</t>
  </si>
  <si>
    <t>Q_Cond_etapa2</t>
  </si>
  <si>
    <t>Q_HE</t>
  </si>
  <si>
    <t>Calor y Exergias [ MW]</t>
  </si>
  <si>
    <t>x [kJ/kgK]</t>
  </si>
  <si>
    <t>Areas [m2]</t>
  </si>
  <si>
    <t>HTR</t>
  </si>
  <si>
    <t>LTR</t>
  </si>
  <si>
    <t>Evaporador</t>
  </si>
  <si>
    <t>Condensador</t>
  </si>
  <si>
    <t>Cooler</t>
  </si>
  <si>
    <t>HE</t>
  </si>
  <si>
    <t>Potencias [ kW]</t>
  </si>
  <si>
    <t>Turbina 1</t>
  </si>
  <si>
    <t>Turbina 2</t>
  </si>
  <si>
    <t>Turbina 3</t>
  </si>
  <si>
    <t>Compresor 1</t>
  </si>
  <si>
    <t>Compresor 2</t>
  </si>
  <si>
    <t>Bomba 1</t>
  </si>
  <si>
    <t>W_SBCR</t>
  </si>
  <si>
    <t>W_ORC</t>
  </si>
  <si>
    <t>W_ORC + SBCR</t>
  </si>
  <si>
    <t>Eficiencias [%]</t>
  </si>
  <si>
    <t>Parametros Field solar</t>
  </si>
  <si>
    <t>nt</t>
  </si>
  <si>
    <t>Fi</t>
  </si>
  <si>
    <t>nfield</t>
  </si>
  <si>
    <t>nth_ORC</t>
  </si>
  <si>
    <t>nth_SBCR</t>
  </si>
  <si>
    <t>nth_PEM</t>
  </si>
  <si>
    <t>nth_ciclo</t>
  </si>
  <si>
    <t>n_ciclo sin PEM</t>
  </si>
  <si>
    <t>nex_ORC</t>
  </si>
  <si>
    <t>nex_SBCR</t>
  </si>
  <si>
    <t>nex_PEM</t>
  </si>
  <si>
    <t>nex_ciclo</t>
  </si>
  <si>
    <t>nex_ciclo_2</t>
  </si>
  <si>
    <t>W Neto [MW]</t>
  </si>
  <si>
    <t>n_ciclo sin PEM[%]</t>
  </si>
  <si>
    <t>XD Turbina 3 [kW]</t>
  </si>
  <si>
    <t>XD Loss Solar receiver [kW]</t>
  </si>
  <si>
    <t>XD CSP [kW]</t>
  </si>
  <si>
    <t>XD Bomba 2 [kW]</t>
  </si>
  <si>
    <t>XD HE [kW]</t>
  </si>
  <si>
    <t>W_Rankine [MW]</t>
  </si>
  <si>
    <t>Y.Evap</t>
  </si>
  <si>
    <t>Y.Cond</t>
  </si>
  <si>
    <t>Y.HTR</t>
  </si>
  <si>
    <t>Y.HE</t>
  </si>
  <si>
    <t>Y.T1</t>
  </si>
  <si>
    <t>Y.T2</t>
  </si>
  <si>
    <t>Y.Cooler</t>
  </si>
  <si>
    <t>Y.LTR</t>
  </si>
  <si>
    <t>Y.T3</t>
  </si>
  <si>
    <t>Y.C1</t>
  </si>
  <si>
    <t>Y.C2</t>
  </si>
  <si>
    <t>Y.B2</t>
  </si>
  <si>
    <t xml:space="preserve">Y.wf </t>
  </si>
  <si>
    <t>Y.co2</t>
  </si>
  <si>
    <t>Y.CSP</t>
  </si>
  <si>
    <t>Yom total</t>
  </si>
  <si>
    <t>Yco total</t>
  </si>
  <si>
    <t>Yde total</t>
  </si>
  <si>
    <t>Impacto por componente [kgCO2-eq]</t>
  </si>
  <si>
    <t>Impacto por fases [kgCO2-eq]</t>
  </si>
  <si>
    <t>Fases</t>
  </si>
  <si>
    <t>EWR</t>
  </si>
  <si>
    <t>EEF</t>
  </si>
  <si>
    <t>ESI</t>
  </si>
  <si>
    <t>XD PEM [kW]</t>
  </si>
  <si>
    <t>Y.PEM</t>
  </si>
  <si>
    <t>Y total [kgCO2-eq/kWh]</t>
  </si>
  <si>
    <t>n_ex2 [%]</t>
  </si>
  <si>
    <t>Y PEM [kgCO2-eq/kgH2]</t>
  </si>
  <si>
    <t>Yom PEM</t>
  </si>
  <si>
    <t>Yco PEM</t>
  </si>
  <si>
    <t>Yde PEM</t>
  </si>
  <si>
    <t>Z</t>
  </si>
  <si>
    <t>C4</t>
  </si>
  <si>
    <t xml:space="preserve">C5 </t>
  </si>
  <si>
    <t>C6</t>
  </si>
  <si>
    <t>C6AI</t>
  </si>
  <si>
    <t>C7</t>
  </si>
  <si>
    <t>C8</t>
  </si>
  <si>
    <t>C9</t>
  </si>
  <si>
    <t>C10</t>
  </si>
  <si>
    <t>C11</t>
  </si>
  <si>
    <t>C12</t>
  </si>
  <si>
    <t>C15</t>
  </si>
  <si>
    <t>C16</t>
  </si>
  <si>
    <t>C17</t>
  </si>
  <si>
    <t>C18</t>
  </si>
  <si>
    <t>C20</t>
  </si>
  <si>
    <t>CWT1</t>
  </si>
  <si>
    <t>CNETO</t>
  </si>
  <si>
    <t>CWT2</t>
  </si>
  <si>
    <t>CWC1</t>
  </si>
  <si>
    <t>CWC2</t>
  </si>
  <si>
    <t>CH2</t>
  </si>
  <si>
    <t>CO2</t>
  </si>
  <si>
    <t>CWT3</t>
  </si>
  <si>
    <t>T1</t>
  </si>
  <si>
    <t>"-ZT1"</t>
  </si>
  <si>
    <t>T2</t>
  </si>
  <si>
    <t>"-ZT2"</t>
  </si>
  <si>
    <t>"-ZC1"</t>
  </si>
  <si>
    <t>"-ZC2"</t>
  </si>
  <si>
    <t>"-ZHTR"</t>
  </si>
  <si>
    <t>"-ZLTR"</t>
  </si>
  <si>
    <t>COOLER</t>
  </si>
  <si>
    <t>"-ZCOOLER"</t>
  </si>
  <si>
    <t>"-ZHE"</t>
  </si>
  <si>
    <t>T3</t>
  </si>
  <si>
    <t>"-ZT3"</t>
  </si>
  <si>
    <t>B2</t>
  </si>
  <si>
    <t>"-ZB2"</t>
  </si>
  <si>
    <t>COND</t>
  </si>
  <si>
    <t>"-ZCOND"</t>
  </si>
  <si>
    <t>EVAP</t>
  </si>
  <si>
    <t>"-ZEVAP"</t>
  </si>
  <si>
    <t>PEM</t>
  </si>
  <si>
    <t>"-ZPEM"</t>
  </si>
  <si>
    <t>AUX</t>
  </si>
  <si>
    <t>AUX T1</t>
  </si>
  <si>
    <t>E1/E2</t>
  </si>
  <si>
    <t>E3/E4</t>
  </si>
  <si>
    <t>AUX HTR</t>
  </si>
  <si>
    <t>AUX LTR</t>
  </si>
  <si>
    <t>E4/E5</t>
  </si>
  <si>
    <t>E5/E6</t>
  </si>
  <si>
    <t>AUX LTR 2</t>
  </si>
  <si>
    <t>AUX HE</t>
  </si>
  <si>
    <t>E6AO/E7</t>
  </si>
  <si>
    <t>AUX T3</t>
  </si>
  <si>
    <t>AUX T2</t>
  </si>
  <si>
    <t>E15/E16</t>
  </si>
  <si>
    <t>AUX B2</t>
  </si>
  <si>
    <t>WB2</t>
  </si>
  <si>
    <t>WB2/WT3</t>
  </si>
  <si>
    <t>AUX EVAP</t>
  </si>
  <si>
    <t>C6BI</t>
  </si>
  <si>
    <t>C6AO</t>
  </si>
  <si>
    <t>C6AO3</t>
  </si>
  <si>
    <t>E6AI/E6AO3</t>
  </si>
  <si>
    <t>30 incognitas</t>
  </si>
  <si>
    <t>AUX COOLER</t>
  </si>
  <si>
    <t>E6AO3/E6AO</t>
  </si>
  <si>
    <t>E16/E17</t>
  </si>
  <si>
    <t>24 ecuaciones</t>
  </si>
  <si>
    <t>Cdot (USD/h)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</si>
  <si>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</si>
  <si>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</si>
  <si>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</si>
  <si>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</si>
  <si>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</si>
  <si>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</si>
  <si>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</si>
  <si>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</si>
  <si>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</si>
  <si>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</si>
  <si>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</si>
  <si>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</si>
  <si>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c6BI</t>
  </si>
  <si>
    <t>c6AI</t>
  </si>
  <si>
    <t>c6AO3</t>
  </si>
  <si>
    <t>c6AO</t>
  </si>
  <si>
    <t>c20</t>
  </si>
  <si>
    <t>c15</t>
  </si>
  <si>
    <t>c16</t>
  </si>
  <si>
    <t>c17</t>
  </si>
  <si>
    <t>c18</t>
  </si>
  <si>
    <t>cH2</t>
  </si>
  <si>
    <t>cO2</t>
  </si>
  <si>
    <t>cel</t>
  </si>
  <si>
    <t>Componente</t>
  </si>
  <si>
    <t>c19</t>
  </si>
  <si>
    <t>Evaporador ORC</t>
  </si>
  <si>
    <t>Turbina ORC</t>
  </si>
  <si>
    <t>Bomba ORC</t>
  </si>
  <si>
    <t>Condensador ORC</t>
  </si>
  <si>
    <t>HE-PEM</t>
  </si>
  <si>
    <t>Punto</t>
  </si>
  <si>
    <t>Costo Unit. (USD/kWhex)</t>
  </si>
  <si>
    <t>Zdot (USD/h)</t>
  </si>
  <si>
    <t>ED (kW)</t>
  </si>
  <si>
    <t>CD (USD/h)</t>
  </si>
  <si>
    <t>f (%)</t>
  </si>
  <si>
    <t>LCOEn(USD/kWh)</t>
  </si>
  <si>
    <t>cH2 [USD/kWhex]</t>
  </si>
  <si>
    <t>cElectricidad [USD/kWhex]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</si>
</sst>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2" fillId="2" borderId="3" xfId="0" applyFont="1" applyFill="1" applyBorder="1" applyAlignment="1">
      <alignment horizontal="center"/>
    </xf>
    <xf numFmtId="0" fontId="2" fillId="0" borderId="0" xfId="0" applyFont="1"/>
    <xf numFmtId="2" fontId="3" fillId="0" borderId="0" xfId="0" applyNumberFormat="1" applyFont="1"/>
    <xf numFmtId="0" fontId="2" fillId="0" borderId="3" xfId="0" applyFont="1" applyBorder="1"/>
    <xf numFmtId="2" fontId="3" fillId="0" borderId="3" xfId="0" applyNumberFormat="1" applyFont="1" applyBorder="1"/>
    <xf numFmtId="0" fontId="1" fillId="0" borderId="0" xfId="0" applyFont="1"/>
    <xf numFmtId="0" fontId="1" fillId="0" borderId="3" xfId="0" applyFont="1" applyBorder="1"/>
    <xf numFmtId="2" fontId="0" fillId="0" borderId="3" xfId="0" applyNumberFormat="1" applyBorder="1"/>
    <xf numFmtId="165" fontId="0" fillId="0" borderId="3" xfId="0" applyNumberFormat="1" applyBorder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0" fontId="1" fillId="3" borderId="0" xfId="0" applyFont="1" applyFill="1"/>
    <xf numFmtId="0" fontId="0" fillId="3" borderId="0" xfId="0" applyFill="1"/>
    <xf numFmtId="9" fontId="0" fillId="0" borderId="0" xfId="1" applyFont="1" applyAlignment="1">
      <alignment horizontal="center" vertical="center"/>
    </xf>
    <xf numFmtId="2" fontId="2" fillId="0" borderId="0" xfId="0" applyNumberFormat="1" applyFont="1"/>
    <xf numFmtId="2" fontId="0" fillId="3" borderId="0" xfId="1" applyNumberFormat="1" applyFont="1" applyFill="1"/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3" xfId="0" applyBorder="1"/>
    <xf numFmtId="0" fontId="0" fillId="0" borderId="1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748145</xdr:colOff>
      <xdr:row>30</xdr:row>
      <xdr:rowOff>27709</xdr:rowOff>
    </xdr:from>
    <xdr:to>
      <xdr:col>19</xdr:col>
      <xdr:colOff>518172</xdr:colOff>
      <xdr:row>57</xdr:row>
      <xdr:rowOff>102952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9FF9945-73F5-ECD6-453A-B89521C4E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4319" y="5593622"/>
          <a:ext cx="10358514" cy="50845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889D7-F248-4C3B-B68C-D47001A5CC86}">
  <dimension ref="B2:AH39"/>
  <sheetViews>
    <sheetView topLeftCell="B1" zoomScale="55" zoomScaleNormal="55" workbookViewId="0">
      <selection activeCell="Q36" sqref="Q36"/>
    </sheetView>
  </sheetViews>
  <sheetFormatPr baseColWidth="10" defaultRowHeight="14.4" x14ac:dyDescent="0.3"/>
  <cols>
    <col min="1" max="1" width="11.5546875" style="17"/>
    <col min="2" max="2" width="5.5546875" style="17" bestFit="1" customWidth="1"/>
    <col min="3" max="4" width="18.6640625" style="17" bestFit="1" customWidth="1"/>
    <col min="5" max="5" width="16.44140625" style="17" bestFit="1" customWidth="1"/>
    <col min="6" max="6" width="20.5546875" style="17" bestFit="1" customWidth="1"/>
    <col min="7" max="7" width="20.88671875" style="17" bestFit="1" customWidth="1"/>
    <col min="8" max="8" width="12.77734375" style="17" bestFit="1" customWidth="1"/>
    <col min="9" max="9" width="12.6640625" style="17" bestFit="1" customWidth="1"/>
    <col min="10" max="10" width="23.44140625" style="17" bestFit="1" customWidth="1"/>
    <col min="11" max="11" width="15.6640625" style="17" bestFit="1" customWidth="1"/>
    <col min="12" max="12" width="14.88671875" style="17" bestFit="1" customWidth="1"/>
    <col min="13" max="13" width="13.5546875" style="17" bestFit="1" customWidth="1"/>
    <col min="14" max="14" width="17.88671875" style="17" bestFit="1" customWidth="1"/>
    <col min="15" max="16" width="19.109375" style="17" bestFit="1" customWidth="1"/>
    <col min="17" max="17" width="19" style="17" bestFit="1" customWidth="1"/>
    <col min="18" max="19" width="18.6640625" style="17" bestFit="1" customWidth="1"/>
    <col min="20" max="22" width="23.88671875" style="17" bestFit="1" customWidth="1"/>
    <col min="23" max="26" width="12" style="17" bestFit="1" customWidth="1"/>
    <col min="27" max="27" width="2" style="17" bestFit="1" customWidth="1"/>
    <col min="28" max="28" width="12" style="17" bestFit="1" customWidth="1"/>
    <col min="29" max="29" width="12.6640625" style="17" bestFit="1" customWidth="1"/>
    <col min="30" max="31" width="12" style="17" bestFit="1" customWidth="1"/>
    <col min="32" max="16384" width="11.5546875" style="17"/>
  </cols>
  <sheetData>
    <row r="2" spans="2:34" x14ac:dyDescent="0.3">
      <c r="B2" s="18" t="s">
        <v>0</v>
      </c>
      <c r="C2" s="18" t="s">
        <v>90</v>
      </c>
      <c r="D2" s="18" t="s">
        <v>97</v>
      </c>
      <c r="E2" s="18" t="s">
        <v>91</v>
      </c>
      <c r="F2" s="18" t="s">
        <v>1</v>
      </c>
      <c r="G2" s="18" t="s">
        <v>2</v>
      </c>
      <c r="H2" s="18" t="s">
        <v>3</v>
      </c>
      <c r="I2" s="18" t="s">
        <v>4</v>
      </c>
      <c r="J2" s="18" t="s">
        <v>5</v>
      </c>
      <c r="K2" s="18" t="s">
        <v>6</v>
      </c>
      <c r="L2" s="18" t="s">
        <v>7</v>
      </c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</row>
    <row r="3" spans="2:34" x14ac:dyDescent="0.3">
      <c r="B3" s="19">
        <v>500</v>
      </c>
      <c r="C3" s="19">
        <v>7.9817560813786423</v>
      </c>
      <c r="D3" s="17">
        <v>0.57478365564259748</v>
      </c>
      <c r="E3" s="19">
        <v>44.197489238670407</v>
      </c>
      <c r="F3" s="19">
        <v>22.006324234413263</v>
      </c>
      <c r="G3" s="19">
        <v>42.266069418369199</v>
      </c>
      <c r="H3" s="19">
        <v>39.083036578748462</v>
      </c>
      <c r="I3" s="19">
        <v>38.322157470640676</v>
      </c>
      <c r="J3" s="19">
        <v>73.705196115616388</v>
      </c>
      <c r="K3" s="19">
        <v>6.7738392475312912</v>
      </c>
      <c r="L3" s="17">
        <v>60.535652280525397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</row>
    <row r="4" spans="2:34" x14ac:dyDescent="0.3">
      <c r="B4" s="17">
        <v>550</v>
      </c>
      <c r="C4" s="17">
        <v>8.9819868548594588</v>
      </c>
      <c r="D4" s="17">
        <v>0.59780007016897552</v>
      </c>
      <c r="E4" s="17">
        <v>46.69526627123269</v>
      </c>
      <c r="F4" s="17">
        <v>22.850005374764851</v>
      </c>
      <c r="G4" s="17">
        <v>44.797301420947292</v>
      </c>
      <c r="H4" s="17">
        <v>38.702038861674041</v>
      </c>
      <c r="I4" s="17">
        <v>37.945565695998773</v>
      </c>
      <c r="J4" s="17">
        <v>73.460227385209635</v>
      </c>
      <c r="K4" s="17">
        <v>6.9757969550625445</v>
      </c>
      <c r="L4" s="17">
        <v>62.340484239438453</v>
      </c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</row>
    <row r="5" spans="2:34" x14ac:dyDescent="0.3">
      <c r="B5" s="17">
        <v>600</v>
      </c>
      <c r="C5" s="17">
        <v>9.9679334582948602</v>
      </c>
      <c r="D5" s="17">
        <v>0.62111932846844753</v>
      </c>
      <c r="E5" s="17">
        <v>48.863771870449504</v>
      </c>
      <c r="F5" s="17">
        <v>23.39359126526438</v>
      </c>
      <c r="G5" s="17">
        <v>46.992751286845909</v>
      </c>
      <c r="H5" s="17">
        <v>38.328127919305047</v>
      </c>
      <c r="I5" s="17">
        <v>37.576039107764217</v>
      </c>
      <c r="J5" s="17">
        <v>73.215836655735927</v>
      </c>
      <c r="K5" s="17">
        <v>7.1772698736697782</v>
      </c>
      <c r="L5" s="17">
        <v>64.140983793542134</v>
      </c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</row>
    <row r="6" spans="2:34" x14ac:dyDescent="0.3">
      <c r="B6" s="17">
        <v>650</v>
      </c>
      <c r="C6" s="17">
        <v>10.942520132883478</v>
      </c>
      <c r="D6" s="17">
        <v>0.6447344000410401</v>
      </c>
      <c r="E6" s="17">
        <v>50.766607886856718</v>
      </c>
      <c r="F6" s="17">
        <v>23.661351320584064</v>
      </c>
      <c r="G6" s="17">
        <v>48.91739667752401</v>
      </c>
      <c r="H6" s="17">
        <v>37.961182417304968</v>
      </c>
      <c r="I6" s="17">
        <v>37.213454717865027</v>
      </c>
      <c r="J6" s="17">
        <v>72.972155033057845</v>
      </c>
      <c r="K6" s="17">
        <v>7.3782020252319311</v>
      </c>
      <c r="L6" s="17">
        <v>65.936650684128182</v>
      </c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</row>
    <row r="7" spans="2:34" x14ac:dyDescent="0.3">
      <c r="B7" s="17">
        <v>700</v>
      </c>
      <c r="C7" s="17">
        <v>11.907911442755228</v>
      </c>
      <c r="D7" s="17">
        <v>0.66863221481329138</v>
      </c>
      <c r="E7" s="17">
        <v>52.451199641588161</v>
      </c>
      <c r="F7" s="17">
        <v>23.667463179486298</v>
      </c>
      <c r="G7" s="17">
        <v>50.619687111767362</v>
      </c>
      <c r="H7" s="17">
        <v>37.60117137295029</v>
      </c>
      <c r="I7" s="17">
        <v>36.857778908474963</v>
      </c>
      <c r="J7" s="17">
        <v>72.729372195994642</v>
      </c>
      <c r="K7" s="17">
        <v>7.5784907719207091</v>
      </c>
      <c r="L7" s="17">
        <v>67.726567669488134</v>
      </c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</row>
    <row r="8" spans="2:34" x14ac:dyDescent="0.3">
      <c r="B8" s="17">
        <v>750</v>
      </c>
      <c r="C8" s="17">
        <v>12.865749758364128</v>
      </c>
      <c r="D8" s="17">
        <v>0.6927963040732894</v>
      </c>
      <c r="E8" s="17">
        <v>53.953838014043107</v>
      </c>
      <c r="F8" s="17">
        <v>23.418942554906867</v>
      </c>
      <c r="G8" s="17">
        <v>52.136694846180184</v>
      </c>
      <c r="H8" s="17">
        <v>37.248102901082589</v>
      </c>
      <c r="I8" s="17">
        <v>36.50901673542819</v>
      </c>
      <c r="J8" s="17">
        <v>72.487705338327999</v>
      </c>
      <c r="K8" s="17">
        <v>7.7780119622835953</v>
      </c>
      <c r="L8" s="17">
        <v>69.509625247479235</v>
      </c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</row>
    <row r="9" spans="2:34" x14ac:dyDescent="0.3">
      <c r="B9" s="17">
        <v>800.00000000000011</v>
      </c>
      <c r="C9" s="17">
        <v>13.817310399416089</v>
      </c>
      <c r="D9" s="17">
        <v>0.71720857262984272</v>
      </c>
      <c r="E9" s="17">
        <v>55.302895315550685</v>
      </c>
      <c r="F9" s="17">
        <v>22.917512377362197</v>
      </c>
      <c r="G9" s="17">
        <v>53.497400064021491</v>
      </c>
      <c r="H9" s="17">
        <v>36.901993581878948</v>
      </c>
      <c r="I9" s="17">
        <v>36.167181648495081</v>
      </c>
      <c r="J9" s="17">
        <v>72.247379706631875</v>
      </c>
      <c r="K9" s="17">
        <v>7.9766358915200142</v>
      </c>
      <c r="L9" s="17">
        <v>71.284664287449004</v>
      </c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</row>
    <row r="10" spans="2:34" x14ac:dyDescent="0.3"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</row>
    <row r="11" spans="2:34" x14ac:dyDescent="0.3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</row>
    <row r="12" spans="2:34" x14ac:dyDescent="0.3"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</row>
    <row r="13" spans="2:34" x14ac:dyDescent="0.3"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</row>
    <row r="15" spans="2:34" x14ac:dyDescent="0.3">
      <c r="B15" s="18" t="s">
        <v>0</v>
      </c>
      <c r="C15" s="18" t="s">
        <v>8</v>
      </c>
      <c r="D15" s="18" t="s">
        <v>9</v>
      </c>
      <c r="E15" s="18" t="s">
        <v>10</v>
      </c>
      <c r="F15" s="18" t="s">
        <v>11</v>
      </c>
      <c r="G15" s="18" t="s">
        <v>92</v>
      </c>
      <c r="H15" s="18" t="s">
        <v>12</v>
      </c>
      <c r="I15" s="18" t="s">
        <v>13</v>
      </c>
      <c r="J15" s="18" t="s">
        <v>93</v>
      </c>
      <c r="K15" s="18" t="s">
        <v>14</v>
      </c>
      <c r="L15" s="18" t="s">
        <v>94</v>
      </c>
      <c r="M15" s="18" t="s">
        <v>15</v>
      </c>
      <c r="N15" s="18" t="s">
        <v>16</v>
      </c>
      <c r="O15" s="18" t="s">
        <v>17</v>
      </c>
      <c r="P15" s="18" t="s">
        <v>18</v>
      </c>
      <c r="Q15" s="18" t="s">
        <v>95</v>
      </c>
      <c r="R15" s="18" t="s">
        <v>19</v>
      </c>
      <c r="S15" s="18" t="s">
        <v>96</v>
      </c>
      <c r="T15" s="18" t="s">
        <v>20</v>
      </c>
      <c r="U15" s="18" t="s">
        <v>122</v>
      </c>
      <c r="V15" s="18" t="s">
        <v>21</v>
      </c>
    </row>
    <row r="16" spans="2:34" x14ac:dyDescent="0.3">
      <c r="B16" s="17">
        <v>500</v>
      </c>
      <c r="C16" s="17">
        <v>294.85614292537934</v>
      </c>
      <c r="D16" s="17">
        <v>135.64262301173875</v>
      </c>
      <c r="E16" s="17">
        <v>151.19146157877427</v>
      </c>
      <c r="F16" s="17">
        <v>277.13026251072807</v>
      </c>
      <c r="G16" s="17">
        <v>86.111522976340609</v>
      </c>
      <c r="H16" s="17">
        <v>34.017747966403839</v>
      </c>
      <c r="I16" s="17">
        <v>302.81716564914211</v>
      </c>
      <c r="J16" s="17">
        <v>1179.4615416517445</v>
      </c>
      <c r="K16" s="17">
        <v>13863.903314567468</v>
      </c>
      <c r="L16" s="17">
        <v>8932.9858804423748</v>
      </c>
      <c r="M16" s="17">
        <v>3.3626344503154937</v>
      </c>
      <c r="N16" s="17">
        <v>1.6493321533075163</v>
      </c>
      <c r="O16" s="17">
        <v>662.01750343054505</v>
      </c>
      <c r="P16" s="17">
        <v>307.33893335012613</v>
      </c>
      <c r="Q16" s="17">
        <v>6.9940860806835592E-2</v>
      </c>
      <c r="R16" s="17">
        <v>63.537030855789887</v>
      </c>
      <c r="S16" s="17">
        <v>381.6564040682814</v>
      </c>
      <c r="T16" s="17">
        <v>34659.75828641867</v>
      </c>
      <c r="U16" s="17">
        <v>353.65731761283195</v>
      </c>
      <c r="V16" s="17">
        <v>27031.406760062098</v>
      </c>
    </row>
    <row r="17" spans="2:26" x14ac:dyDescent="0.3">
      <c r="B17" s="17">
        <v>550</v>
      </c>
      <c r="C17" s="17">
        <v>297.82296698241635</v>
      </c>
      <c r="D17" s="17">
        <v>131.86805418472457</v>
      </c>
      <c r="E17" s="17">
        <v>152.19025287038554</v>
      </c>
      <c r="F17" s="17">
        <v>278.37767920301479</v>
      </c>
      <c r="G17" s="17">
        <v>88.983413920749442</v>
      </c>
      <c r="H17" s="17">
        <v>80.540884684346381</v>
      </c>
      <c r="I17" s="17">
        <v>364.95425807604568</v>
      </c>
      <c r="J17" s="17">
        <v>1591.6416778681469</v>
      </c>
      <c r="K17" s="17">
        <v>15074.172785462781</v>
      </c>
      <c r="L17" s="17">
        <v>9165.742924421842</v>
      </c>
      <c r="M17" s="17">
        <v>3.3261513919689558</v>
      </c>
      <c r="N17" s="17">
        <v>1.6226905804250538</v>
      </c>
      <c r="O17" s="17">
        <v>700.30101822417953</v>
      </c>
      <c r="P17" s="17">
        <v>324.34672934535394</v>
      </c>
      <c r="Q17" s="17">
        <v>7.2279964988682083E-2</v>
      </c>
      <c r="R17" s="17">
        <v>66.545635698113529</v>
      </c>
      <c r="S17" s="17">
        <v>380.67789920895763</v>
      </c>
      <c r="T17" s="17">
        <v>37685.431963656949</v>
      </c>
      <c r="U17" s="17">
        <v>370.07849924618142</v>
      </c>
      <c r="V17" s="17">
        <v>29073.265801334615</v>
      </c>
    </row>
    <row r="18" spans="2:26" x14ac:dyDescent="0.3">
      <c r="B18" s="17">
        <v>600</v>
      </c>
      <c r="C18" s="17">
        <v>300.72656005696859</v>
      </c>
      <c r="D18" s="17">
        <v>128.15077235300279</v>
      </c>
      <c r="E18" s="17">
        <v>152.89907199523319</v>
      </c>
      <c r="F18" s="17">
        <v>279.2453075698167</v>
      </c>
      <c r="G18" s="17">
        <v>91.855320754454354</v>
      </c>
      <c r="H18" s="17">
        <v>132.01571327555575</v>
      </c>
      <c r="I18" s="17">
        <v>429.70000918122383</v>
      </c>
      <c r="J18" s="17">
        <v>2123.7887994432162</v>
      </c>
      <c r="K18" s="17">
        <v>16381.075957825688</v>
      </c>
      <c r="L18" s="17">
        <v>9428.9610392787527</v>
      </c>
      <c r="M18" s="17">
        <v>3.2898953561125701</v>
      </c>
      <c r="N18" s="17">
        <v>1.5963324264198737</v>
      </c>
      <c r="O18" s="17">
        <v>739.74316456090378</v>
      </c>
      <c r="P18" s="17">
        <v>342.19548588824279</v>
      </c>
      <c r="Q18" s="17">
        <v>7.4619661227411427E-2</v>
      </c>
      <c r="R18" s="17">
        <v>69.636622761948459</v>
      </c>
      <c r="S18" s="17">
        <v>379.53905784855749</v>
      </c>
      <c r="T18" s="17">
        <v>40952.68989456421</v>
      </c>
      <c r="U18" s="17">
        <v>386.81822347694612</v>
      </c>
      <c r="V18" s="17">
        <v>31371.31195371427</v>
      </c>
    </row>
    <row r="19" spans="2:26" x14ac:dyDescent="0.3">
      <c r="B19" s="17">
        <v>650</v>
      </c>
      <c r="C19" s="17">
        <v>303.5689357492202</v>
      </c>
      <c r="D19" s="17">
        <v>124.48910840925201</v>
      </c>
      <c r="E19" s="17">
        <v>153.39874970301798</v>
      </c>
      <c r="F19" s="17">
        <v>279.8422102253549</v>
      </c>
      <c r="G19" s="17">
        <v>94.725497642047941</v>
      </c>
      <c r="H19" s="17">
        <v>185.84739014316</v>
      </c>
      <c r="I19" s="17">
        <v>497.04374229533039</v>
      </c>
      <c r="J19" s="17">
        <v>2808.6836717508977</v>
      </c>
      <c r="K19" s="17">
        <v>17814.38949249798</v>
      </c>
      <c r="L19" s="17">
        <v>9733.9721439540208</v>
      </c>
      <c r="M19" s="17">
        <v>3.2538839114981575</v>
      </c>
      <c r="N19" s="17">
        <v>1.570268926036658</v>
      </c>
      <c r="O19" s="17">
        <v>780.3352173446757</v>
      </c>
      <c r="P19" s="17">
        <v>360.9288825433681</v>
      </c>
      <c r="Q19" s="17">
        <v>7.6958539798279726E-2</v>
      </c>
      <c r="R19" s="17">
        <v>72.811563723715722</v>
      </c>
      <c r="S19" s="17">
        <v>378.24841917647922</v>
      </c>
      <c r="T19" s="17">
        <v>44535.973731244943</v>
      </c>
      <c r="U19" s="17">
        <v>403.8712905190423</v>
      </c>
      <c r="V19" s="17">
        <v>33997.057427054897</v>
      </c>
    </row>
    <row r="20" spans="2:26" x14ac:dyDescent="0.3">
      <c r="B20" s="17">
        <v>700</v>
      </c>
      <c r="C20" s="17">
        <v>306.35131841675008</v>
      </c>
      <c r="D20" s="17">
        <v>120.88239449501667</v>
      </c>
      <c r="E20" s="17">
        <v>153.74467368248199</v>
      </c>
      <c r="F20" s="17">
        <v>280.24408784225767</v>
      </c>
      <c r="G20" s="17">
        <v>97.59153362218035</v>
      </c>
      <c r="H20" s="17">
        <v>240.31475528596201</v>
      </c>
      <c r="I20" s="17">
        <v>566.95500958230537</v>
      </c>
      <c r="J20" s="17">
        <v>3689.4255484164842</v>
      </c>
      <c r="K20" s="17">
        <v>19412.004412755879</v>
      </c>
      <c r="L20" s="17">
        <v>10093.94296158151</v>
      </c>
      <c r="M20" s="17">
        <v>3.2181430517416656</v>
      </c>
      <c r="N20" s="17">
        <v>1.544517183389571</v>
      </c>
      <c r="O20" s="17">
        <v>822.05630927133234</v>
      </c>
      <c r="P20" s="17">
        <v>380.58664247568697</v>
      </c>
      <c r="Q20" s="17">
        <v>7.9294647204591173E-2</v>
      </c>
      <c r="R20" s="17">
        <v>76.071243546232026</v>
      </c>
      <c r="S20" s="17">
        <v>376.81466876953999</v>
      </c>
      <c r="T20" s="17">
        <v>48530.011031889699</v>
      </c>
      <c r="U20" s="17">
        <v>421.22798507395089</v>
      </c>
      <c r="V20" s="17">
        <v>37043.055499699934</v>
      </c>
    </row>
    <row r="21" spans="2:26" x14ac:dyDescent="0.3">
      <c r="B21" s="17">
        <v>750</v>
      </c>
      <c r="C21" s="17">
        <v>309.07455465127805</v>
      </c>
      <c r="D21" s="17">
        <v>117.33045407099952</v>
      </c>
      <c r="E21" s="17">
        <v>153.97884766306913</v>
      </c>
      <c r="F21" s="17">
        <v>280.50183820071442</v>
      </c>
      <c r="G21" s="17">
        <v>100.45071167206741</v>
      </c>
      <c r="H21" s="17">
        <v>294.26310690947577</v>
      </c>
      <c r="I21" s="17">
        <v>639.38950186234808</v>
      </c>
      <c r="J21" s="17">
        <v>4823.8346125543394</v>
      </c>
      <c r="K21" s="17">
        <v>21223.823419605003</v>
      </c>
      <c r="L21" s="17">
        <v>10525.356004225263</v>
      </c>
      <c r="M21" s="17">
        <v>3.182702476477075</v>
      </c>
      <c r="N21" s="17">
        <v>1.519096652861311</v>
      </c>
      <c r="O21" s="17">
        <v>864.87738547050515</v>
      </c>
      <c r="P21" s="17">
        <v>401.20580558999745</v>
      </c>
      <c r="Q21" s="17">
        <v>8.1625778220241155E-2</v>
      </c>
      <c r="R21" s="17">
        <v>79.415965355949552</v>
      </c>
      <c r="S21" s="17">
        <v>375.24661356442857</v>
      </c>
      <c r="T21" s="17">
        <v>53059.558549012494</v>
      </c>
      <c r="U21" s="17">
        <v>438.8758961478494</v>
      </c>
      <c r="V21" s="17">
        <v>40632.408142450848</v>
      </c>
    </row>
    <row r="22" spans="2:26" x14ac:dyDescent="0.3">
      <c r="B22" s="17">
        <v>800.00000000000011</v>
      </c>
      <c r="C22" s="17">
        <v>311.73934843303778</v>
      </c>
      <c r="D22" s="17">
        <v>113.83330527634081</v>
      </c>
      <c r="E22" s="17">
        <v>154.12694860114715</v>
      </c>
      <c r="F22" s="17">
        <v>280.65325482354871</v>
      </c>
      <c r="G22" s="17">
        <v>103.30018156282743</v>
      </c>
      <c r="H22" s="17">
        <v>346.91288051130834</v>
      </c>
      <c r="I22" s="17">
        <v>714.29330882120883</v>
      </c>
      <c r="J22" s="17">
        <v>6291.3606293226931</v>
      </c>
      <c r="K22" s="17">
        <v>23317.709736516052</v>
      </c>
      <c r="L22" s="17">
        <v>11050.043569183621</v>
      </c>
      <c r="M22" s="17">
        <v>3.1475926729674328</v>
      </c>
      <c r="N22" s="17">
        <v>1.4940269956205496</v>
      </c>
      <c r="O22" s="17">
        <v>908.7639387171597</v>
      </c>
      <c r="P22" s="17">
        <v>422.82153795985045</v>
      </c>
      <c r="Q22" s="17">
        <v>8.3949658717157039E-2</v>
      </c>
      <c r="R22" s="17">
        <v>82.84575052116061</v>
      </c>
      <c r="S22" s="17">
        <v>373.5531104491323</v>
      </c>
      <c r="T22" s="17">
        <v>58294.274341290125</v>
      </c>
      <c r="U22" s="17">
        <v>456.8011680060402</v>
      </c>
      <c r="V22" s="17">
        <v>44933.484238032433</v>
      </c>
      <c r="W22" s="21"/>
      <c r="X22" s="21"/>
      <c r="Y22" s="21"/>
      <c r="Z22" s="21"/>
    </row>
    <row r="23" spans="2:26" x14ac:dyDescent="0.3">
      <c r="W23" s="21"/>
      <c r="X23" s="21"/>
      <c r="Y23" s="21"/>
      <c r="Z23" s="21"/>
    </row>
    <row r="24" spans="2:26" x14ac:dyDescent="0.3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1"/>
      <c r="X24" s="21"/>
      <c r="Y24" s="21"/>
      <c r="Z24" s="21"/>
    </row>
    <row r="25" spans="2:26" x14ac:dyDescent="0.3">
      <c r="W25" s="21"/>
      <c r="X25" s="21"/>
      <c r="Y25" s="21"/>
      <c r="Z25" s="21"/>
    </row>
    <row r="27" spans="2:26" x14ac:dyDescent="0.3">
      <c r="F27" s="21"/>
      <c r="G27" s="21"/>
      <c r="H27" s="21"/>
    </row>
    <row r="28" spans="2:26" x14ac:dyDescent="0.3">
      <c r="B28" s="18" t="s">
        <v>0</v>
      </c>
      <c r="C28" s="18" t="s">
        <v>119</v>
      </c>
      <c r="D28" s="18" t="s">
        <v>120</v>
      </c>
      <c r="E28" s="18" t="s">
        <v>121</v>
      </c>
      <c r="F28" s="18" t="s">
        <v>124</v>
      </c>
      <c r="G28" s="18" t="s">
        <v>126</v>
      </c>
      <c r="H28" s="18" t="s">
        <v>125</v>
      </c>
    </row>
    <row r="29" spans="2:26" x14ac:dyDescent="0.3">
      <c r="B29" s="17">
        <v>500</v>
      </c>
      <c r="C29" s="17">
        <v>0.77990753820849013</v>
      </c>
      <c r="D29" s="17">
        <v>3.5440154834621529</v>
      </c>
      <c r="E29" s="21">
        <v>0.28216581012876918</v>
      </c>
      <c r="F29" s="21">
        <v>1.1512137739935889E-2</v>
      </c>
      <c r="G29">
        <v>0.67677225952588616</v>
      </c>
      <c r="H29">
        <v>22.009246179150999</v>
      </c>
      <c r="I29" s="25"/>
      <c r="J29" s="25"/>
    </row>
    <row r="30" spans="2:26" x14ac:dyDescent="0.3">
      <c r="B30" s="17">
        <v>550</v>
      </c>
      <c r="C30" s="17">
        <v>0.77147227154971376</v>
      </c>
      <c r="D30" s="17">
        <v>3.3762454708291418</v>
      </c>
      <c r="E30" s="21">
        <v>0.29618699488530348</v>
      </c>
      <c r="F30" s="21">
        <v>1.1448741730107946E-2</v>
      </c>
      <c r="G30">
        <v>0.67329752422721656</v>
      </c>
      <c r="H30">
        <v>22.852772845028625</v>
      </c>
      <c r="I30" s="25"/>
      <c r="J30" s="25"/>
    </row>
    <row r="31" spans="2:26" x14ac:dyDescent="0.3">
      <c r="B31" s="17">
        <v>600</v>
      </c>
      <c r="C31" s="17">
        <v>0.76603788504447645</v>
      </c>
      <c r="D31" s="17">
        <v>3.2745630047059779</v>
      </c>
      <c r="E31" s="21">
        <v>0.30538425999526303</v>
      </c>
      <c r="F31" s="21">
        <v>1.1402542302703553E-2</v>
      </c>
      <c r="G31">
        <v>0.67076533361118174</v>
      </c>
      <c r="H31">
        <v>23.396211495552354</v>
      </c>
      <c r="I31" s="25"/>
      <c r="J31" s="25"/>
    </row>
    <row r="32" spans="2:26" x14ac:dyDescent="0.3">
      <c r="B32" s="17">
        <v>650</v>
      </c>
      <c r="C32" s="17">
        <v>0.76336171815198695</v>
      </c>
      <c r="D32" s="17">
        <v>3.2261966267662174</v>
      </c>
      <c r="E32" s="21">
        <v>0.30996250870250008</v>
      </c>
      <c r="F32" s="21">
        <v>1.1366515645355346E-2</v>
      </c>
      <c r="G32">
        <v>0.66879071252192657</v>
      </c>
      <c r="H32">
        <v>23.663828184801304</v>
      </c>
      <c r="I32" s="25"/>
      <c r="J32" s="25"/>
    </row>
    <row r="33" spans="2:10" x14ac:dyDescent="0.3">
      <c r="B33" s="17">
        <v>700</v>
      </c>
      <c r="C33" s="17">
        <v>0.76330202099806788</v>
      </c>
      <c r="D33" s="17">
        <v>3.2251112643946462</v>
      </c>
      <c r="E33" s="21">
        <v>0.31006682189232937</v>
      </c>
      <c r="F33" s="21">
        <v>1.1337655298378537E-2</v>
      </c>
      <c r="G33">
        <v>0.66720887690412767</v>
      </c>
      <c r="H33">
        <v>23.669797900193213</v>
      </c>
      <c r="I33" s="25"/>
      <c r="J33" s="25"/>
    </row>
    <row r="34" spans="2:10" x14ac:dyDescent="0.3">
      <c r="B34" s="17">
        <v>750</v>
      </c>
      <c r="C34" s="17">
        <v>0.76578865813437991</v>
      </c>
      <c r="D34" s="17">
        <v>3.269954039722121</v>
      </c>
      <c r="E34" s="21">
        <v>0.30581469581908238</v>
      </c>
      <c r="F34" s="21">
        <v>1.1313771415970319E-2</v>
      </c>
      <c r="G34">
        <v>0.66589980130933324</v>
      </c>
      <c r="H34">
        <v>23.421134186562</v>
      </c>
      <c r="I34" s="25"/>
      <c r="J34" s="25"/>
    </row>
    <row r="35" spans="2:10" x14ac:dyDescent="0.3">
      <c r="B35" s="17">
        <v>800.00000000000011</v>
      </c>
      <c r="C35" s="17">
        <v>0.77080441854314019</v>
      </c>
      <c r="D35" s="17">
        <v>3.3633860684833179</v>
      </c>
      <c r="E35" s="21">
        <v>0.29731942145165008</v>
      </c>
      <c r="F35" s="21">
        <v>1.1293500510283605E-2</v>
      </c>
      <c r="G35">
        <v>0.66478875296864437</v>
      </c>
      <c r="H35">
        <v>22.919558145685983</v>
      </c>
      <c r="I35" s="25"/>
      <c r="J35" s="25"/>
    </row>
    <row r="36" spans="2:10" x14ac:dyDescent="0.3">
      <c r="F36" s="21"/>
      <c r="G36"/>
      <c r="H36"/>
    </row>
    <row r="37" spans="2:10" x14ac:dyDescent="0.3">
      <c r="B37" s="20"/>
      <c r="C37" s="20"/>
      <c r="D37" s="20"/>
      <c r="E37" s="20"/>
      <c r="F37" s="20"/>
      <c r="G37" s="20"/>
      <c r="H37" s="20"/>
    </row>
    <row r="38" spans="2:10" x14ac:dyDescent="0.3">
      <c r="H38" s="21"/>
    </row>
    <row r="39" spans="2:10" x14ac:dyDescent="0.3">
      <c r="F39" s="21"/>
      <c r="G39" s="21"/>
      <c r="H3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91C93-8228-4E85-B9E3-FB80BE715EB6}">
  <dimension ref="B2:Y42"/>
  <sheetViews>
    <sheetView topLeftCell="D1" zoomScale="72" zoomScaleNormal="55" workbookViewId="0">
      <selection activeCell="K24" sqref="K24"/>
    </sheetView>
  </sheetViews>
  <sheetFormatPr baseColWidth="10" defaultRowHeight="14.4" x14ac:dyDescent="0.3"/>
  <cols>
    <col min="4" max="4" width="11.5546875" style="2"/>
    <col min="11" max="11" width="18.88671875" bestFit="1" customWidth="1"/>
    <col min="12" max="12" width="20" bestFit="1" customWidth="1"/>
    <col min="13" max="13" width="13.21875" bestFit="1" customWidth="1"/>
    <col min="14" max="14" width="14.44140625" bestFit="1" customWidth="1"/>
    <col min="17" max="17" width="24.109375" customWidth="1"/>
    <col min="18" max="18" width="14.109375" bestFit="1" customWidth="1"/>
    <col min="19" max="19" width="14.6640625" customWidth="1"/>
    <col min="20" max="20" width="13.6640625" bestFit="1" customWidth="1"/>
  </cols>
  <sheetData>
    <row r="2" spans="2:18" x14ac:dyDescent="0.3"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57</v>
      </c>
      <c r="I2" s="1" t="s">
        <v>0</v>
      </c>
      <c r="K2" s="28" t="s">
        <v>56</v>
      </c>
      <c r="L2" s="28"/>
      <c r="N2" s="28" t="s">
        <v>65</v>
      </c>
      <c r="O2" s="28"/>
      <c r="Q2" s="28" t="s">
        <v>116</v>
      </c>
      <c r="R2" s="28"/>
    </row>
    <row r="3" spans="2:18" x14ac:dyDescent="0.3">
      <c r="B3" s="3">
        <v>1</v>
      </c>
      <c r="C3" s="4">
        <v>1073.1500000000001</v>
      </c>
      <c r="D3" s="5">
        <v>25</v>
      </c>
      <c r="E3" s="4">
        <v>1350.0381316636626</v>
      </c>
      <c r="F3" s="7">
        <v>3.0305681085599816</v>
      </c>
      <c r="G3" s="4">
        <v>100</v>
      </c>
      <c r="H3" s="4">
        <v>756.61237274082237</v>
      </c>
      <c r="I3" s="4">
        <f>C3-273.15</f>
        <v>800.00000000000011</v>
      </c>
      <c r="K3" s="8" t="s">
        <v>40</v>
      </c>
      <c r="L3" s="8" t="s">
        <v>41</v>
      </c>
      <c r="N3" s="8" t="s">
        <v>40</v>
      </c>
      <c r="O3" s="8" t="s">
        <v>41</v>
      </c>
      <c r="Q3" s="22" t="s">
        <v>40</v>
      </c>
      <c r="R3" s="22" t="s">
        <v>41</v>
      </c>
    </row>
    <row r="4" spans="2:18" x14ac:dyDescent="0.3">
      <c r="B4" s="3">
        <v>2</v>
      </c>
      <c r="C4" s="4">
        <v>1018.1871360117831</v>
      </c>
      <c r="D4" s="5">
        <v>17.482517482517483</v>
      </c>
      <c r="E4" s="4">
        <v>1281.3081492359206</v>
      </c>
      <c r="F4" s="7">
        <v>3.0357375517463359</v>
      </c>
      <c r="G4" s="4">
        <v>100</v>
      </c>
      <c r="H4" s="4">
        <v>686.34112082706883</v>
      </c>
      <c r="I4" s="4">
        <f t="shared" ref="I4:I42" si="0">C4-273.15</f>
        <v>745.0371360117831</v>
      </c>
      <c r="K4" s="9" t="s">
        <v>42</v>
      </c>
      <c r="L4" s="7">
        <v>17.967369630276828</v>
      </c>
      <c r="N4" s="9" t="s">
        <v>66</v>
      </c>
      <c r="O4" s="10">
        <v>6872.9982427742098</v>
      </c>
      <c r="Q4" s="13" t="s">
        <v>98</v>
      </c>
      <c r="R4" s="6">
        <v>3089.4573260227485</v>
      </c>
    </row>
    <row r="5" spans="2:18" x14ac:dyDescent="0.3">
      <c r="B5" s="3">
        <v>3</v>
      </c>
      <c r="C5" s="4">
        <v>1073.1500000000001</v>
      </c>
      <c r="D5" s="5">
        <v>17.482517482517483</v>
      </c>
      <c r="E5" s="4">
        <v>1351.4823193165744</v>
      </c>
      <c r="F5" s="7">
        <v>3.1028601038812176</v>
      </c>
      <c r="G5" s="4">
        <v>100</v>
      </c>
      <c r="H5" s="4">
        <v>736.50270198870771</v>
      </c>
      <c r="I5" s="4">
        <f t="shared" si="0"/>
        <v>800.00000000000011</v>
      </c>
      <c r="K5" s="9" t="s">
        <v>43</v>
      </c>
      <c r="L5" s="7">
        <v>7.0174170080653857</v>
      </c>
      <c r="N5" s="9" t="s">
        <v>67</v>
      </c>
      <c r="O5" s="10">
        <v>11978.456764170598</v>
      </c>
      <c r="Q5" s="13" t="s">
        <v>99</v>
      </c>
      <c r="R5" s="6">
        <v>2963.220148019665</v>
      </c>
    </row>
    <row r="6" spans="2:18" x14ac:dyDescent="0.3">
      <c r="B6" s="3">
        <v>4</v>
      </c>
      <c r="C6" s="4">
        <v>976.21764828798996</v>
      </c>
      <c r="D6" s="5">
        <v>9.1240875912408761</v>
      </c>
      <c r="E6" s="4">
        <v>1231.6977516748684</v>
      </c>
      <c r="F6" s="7">
        <v>3.112273260172465</v>
      </c>
      <c r="G6" s="4">
        <v>100</v>
      </c>
      <c r="H6" s="4">
        <v>613.91160179876624</v>
      </c>
      <c r="I6" s="4">
        <f t="shared" si="0"/>
        <v>703.06764828798998</v>
      </c>
      <c r="K6" s="13" t="s">
        <v>47</v>
      </c>
      <c r="L6" s="7">
        <v>24.984786638342218</v>
      </c>
      <c r="N6" s="9" t="s">
        <v>68</v>
      </c>
      <c r="O6" s="10">
        <v>717.79640670783738</v>
      </c>
      <c r="Q6" s="13" t="s">
        <v>100</v>
      </c>
      <c r="R6" s="6">
        <v>48628.817203007362</v>
      </c>
    </row>
    <row r="7" spans="2:18" x14ac:dyDescent="0.3">
      <c r="B7" s="3">
        <v>5</v>
      </c>
      <c r="C7" s="4">
        <v>580.60739984606084</v>
      </c>
      <c r="D7" s="5">
        <v>9.1240875912408761</v>
      </c>
      <c r="E7" s="4">
        <v>758.77316593152807</v>
      </c>
      <c r="F7" s="7">
        <v>2.493493145865219</v>
      </c>
      <c r="G7" s="4">
        <v>100</v>
      </c>
      <c r="H7" s="4">
        <v>325.47630713613137</v>
      </c>
      <c r="I7" s="4">
        <f t="shared" si="0"/>
        <v>307.45739984606087</v>
      </c>
      <c r="K7" s="9" t="s">
        <v>44</v>
      </c>
      <c r="L7" s="7">
        <v>48.505085709943238</v>
      </c>
      <c r="N7" s="9" t="s">
        <v>69</v>
      </c>
      <c r="O7" s="10">
        <v>-3864.0801901504483</v>
      </c>
      <c r="Q7" s="13" t="s">
        <v>105</v>
      </c>
      <c r="R7" s="6">
        <v>14404.513844749421</v>
      </c>
    </row>
    <row r="8" spans="2:18" x14ac:dyDescent="0.3">
      <c r="B8" s="3">
        <v>6</v>
      </c>
      <c r="C8" s="4">
        <v>435.4382571755965</v>
      </c>
      <c r="D8" s="5">
        <v>9.1240875912408761</v>
      </c>
      <c r="E8" s="4">
        <v>591.20237940579909</v>
      </c>
      <c r="F8" s="7">
        <v>2.1610567826542426</v>
      </c>
      <c r="G8" s="4">
        <v>100</v>
      </c>
      <c r="H8" s="4">
        <v>257.02142230175508</v>
      </c>
      <c r="I8" s="4">
        <f t="shared" si="0"/>
        <v>162.28825717559653</v>
      </c>
      <c r="K8" s="9" t="s">
        <v>45</v>
      </c>
      <c r="L8" s="7">
        <v>16.757078652572897</v>
      </c>
      <c r="N8" s="9" t="s">
        <v>70</v>
      </c>
      <c r="O8" s="10">
        <v>-1887.2729900081154</v>
      </c>
      <c r="Q8" s="13" t="s">
        <v>104</v>
      </c>
      <c r="R8" s="6">
        <v>125.94776703314032</v>
      </c>
    </row>
    <row r="9" spans="2:18" x14ac:dyDescent="0.3">
      <c r="B9" s="3" t="s">
        <v>29</v>
      </c>
      <c r="C9" s="4">
        <v>435.4382571755965</v>
      </c>
      <c r="D9" s="5">
        <v>9.1240875912408761</v>
      </c>
      <c r="E9" s="4">
        <v>591.20237940579909</v>
      </c>
      <c r="F9" s="7">
        <v>2.1610567826542426</v>
      </c>
      <c r="G9" s="4">
        <v>79.946350834994291</v>
      </c>
      <c r="H9" s="4">
        <v>257.02142230175508</v>
      </c>
      <c r="I9" s="4">
        <f t="shared" si="0"/>
        <v>162.28825717559653</v>
      </c>
      <c r="K9" s="9" t="s">
        <v>48</v>
      </c>
      <c r="L9" s="7">
        <v>1.1033708748874791</v>
      </c>
      <c r="N9" s="9" t="s">
        <v>71</v>
      </c>
      <c r="O9" s="10">
        <v>-0.58783407799472909</v>
      </c>
      <c r="Q9" s="13" t="s">
        <v>101</v>
      </c>
      <c r="R9" s="6">
        <v>54938.398428688655</v>
      </c>
    </row>
    <row r="10" spans="2:18" x14ac:dyDescent="0.3">
      <c r="B10" s="3" t="s">
        <v>30</v>
      </c>
      <c r="C10" s="4">
        <v>423.35913575479753</v>
      </c>
      <c r="D10" s="5">
        <v>9.1240875912408761</v>
      </c>
      <c r="E10" s="4">
        <v>0.57660060448894723</v>
      </c>
      <c r="F10" s="7">
        <v>2.1270479527453361E-3</v>
      </c>
      <c r="G10" s="4">
        <v>79.946350834994291</v>
      </c>
      <c r="H10" s="4">
        <v>0.25257320939780875</v>
      </c>
      <c r="I10" s="4">
        <f t="shared" si="0"/>
        <v>150.20913575479756</v>
      </c>
      <c r="K10" s="9" t="s">
        <v>49</v>
      </c>
      <c r="L10" s="7">
        <v>6.8670753276560994</v>
      </c>
      <c r="N10" s="9" t="s">
        <v>72</v>
      </c>
      <c r="O10" s="10">
        <v>13100.101826786246</v>
      </c>
      <c r="Q10" s="13" t="s">
        <v>102</v>
      </c>
      <c r="R10" s="6">
        <v>582641.93083540094</v>
      </c>
    </row>
    <row r="11" spans="2:18" x14ac:dyDescent="0.3">
      <c r="B11" s="2" t="s">
        <v>31</v>
      </c>
      <c r="C11" s="4">
        <v>357.24648058947918</v>
      </c>
      <c r="D11" s="5">
        <v>9.1240875912408761</v>
      </c>
      <c r="E11" s="4">
        <v>0.48705207701453501</v>
      </c>
      <c r="F11" s="7">
        <v>1.8961819516546078E-3</v>
      </c>
      <c r="G11" s="4">
        <v>79.946350834994291</v>
      </c>
      <c r="H11" s="4">
        <v>0.23185738014859708</v>
      </c>
      <c r="I11" s="4">
        <f t="shared" si="0"/>
        <v>84.096480589479199</v>
      </c>
      <c r="K11" s="9" t="s">
        <v>50</v>
      </c>
      <c r="L11" s="7">
        <v>1.2546499075118689</v>
      </c>
      <c r="N11" s="9" t="s">
        <v>73</v>
      </c>
      <c r="O11" s="10">
        <v>717.20857262984271</v>
      </c>
      <c r="Q11" s="13" t="s">
        <v>103</v>
      </c>
      <c r="R11" s="6">
        <v>1015444.9238863285</v>
      </c>
    </row>
    <row r="12" spans="2:18" x14ac:dyDescent="0.3">
      <c r="B12" s="3" t="s">
        <v>32</v>
      </c>
      <c r="C12" s="4">
        <v>346.62379557580101</v>
      </c>
      <c r="D12" s="5">
        <v>9.1240875912408761</v>
      </c>
      <c r="E12" s="4">
        <v>0.46883049635692192</v>
      </c>
      <c r="F12" s="7">
        <v>1.8443861945514714E-3</v>
      </c>
      <c r="G12" s="4">
        <v>79.946350834994291</v>
      </c>
      <c r="H12" s="4">
        <v>0.22907870447128417</v>
      </c>
      <c r="I12" s="4">
        <f t="shared" si="0"/>
        <v>73.473795575801034</v>
      </c>
      <c r="K12" s="9" t="s">
        <v>51</v>
      </c>
      <c r="L12" s="7">
        <v>9.2250961100554463</v>
      </c>
      <c r="N12" s="11" t="s">
        <v>74</v>
      </c>
      <c r="O12" s="12">
        <v>13817.310399416088</v>
      </c>
      <c r="Q12" s="13" t="s">
        <v>106</v>
      </c>
      <c r="R12" s="6">
        <v>60849.467667280827</v>
      </c>
    </row>
    <row r="13" spans="2:18" x14ac:dyDescent="0.3">
      <c r="B13" s="3" t="s">
        <v>33</v>
      </c>
      <c r="C13" s="4">
        <v>346.39737970663185</v>
      </c>
      <c r="D13" s="5">
        <v>9.1240875912408761</v>
      </c>
      <c r="E13" s="4">
        <v>468.41449334690572</v>
      </c>
      <c r="F13" s="7">
        <v>1.8431856450668949</v>
      </c>
      <c r="G13" s="4">
        <v>79.946350834994291</v>
      </c>
      <c r="H13" s="4">
        <v>229.02064529009442</v>
      </c>
      <c r="I13" s="4">
        <f t="shared" si="0"/>
        <v>73.247379706631875</v>
      </c>
      <c r="K13" s="9" t="s">
        <v>52</v>
      </c>
      <c r="L13" s="7">
        <v>7.2309456578341926</v>
      </c>
      <c r="Q13" s="13" t="s">
        <v>107</v>
      </c>
      <c r="R13" s="6">
        <v>-146905.37348517781</v>
      </c>
    </row>
    <row r="14" spans="2:18" x14ac:dyDescent="0.3">
      <c r="B14" s="3" t="s">
        <v>34</v>
      </c>
      <c r="C14" s="4">
        <v>435.4382571755965</v>
      </c>
      <c r="D14" s="5">
        <v>9.1240875912408761</v>
      </c>
      <c r="E14" s="4">
        <v>591.20237940579909</v>
      </c>
      <c r="F14" s="7">
        <v>2.1610567826542426</v>
      </c>
      <c r="G14" s="4">
        <v>20.053649165005705</v>
      </c>
      <c r="H14" s="4">
        <v>257.02142230175508</v>
      </c>
      <c r="I14" s="4">
        <f t="shared" si="0"/>
        <v>162.28825717559653</v>
      </c>
      <c r="K14" s="9" t="s">
        <v>54</v>
      </c>
      <c r="L14" s="7">
        <v>1.2769418795914116</v>
      </c>
      <c r="N14" s="29" t="s">
        <v>75</v>
      </c>
      <c r="O14" s="29"/>
      <c r="Q14" s="13" t="s">
        <v>108</v>
      </c>
      <c r="R14" s="6">
        <v>-71750.721988726538</v>
      </c>
    </row>
    <row r="15" spans="2:18" x14ac:dyDescent="0.3">
      <c r="B15" s="3">
        <v>7</v>
      </c>
      <c r="C15" s="4">
        <v>328.15</v>
      </c>
      <c r="D15" s="5">
        <v>9.1240875912408761</v>
      </c>
      <c r="E15" s="4">
        <v>427.37611738856413</v>
      </c>
      <c r="F15" s="7">
        <v>1.72122584179495</v>
      </c>
      <c r="G15" s="4">
        <v>79.946350834994291</v>
      </c>
      <c r="H15" s="4">
        <v>224.33075530171814</v>
      </c>
      <c r="I15" s="4">
        <f t="shared" si="0"/>
        <v>55</v>
      </c>
      <c r="K15" s="9" t="s">
        <v>53</v>
      </c>
      <c r="L15" s="7">
        <v>8.5078875374256029</v>
      </c>
      <c r="N15" s="9" t="s">
        <v>80</v>
      </c>
      <c r="O15" s="10">
        <v>7.7745376749850683</v>
      </c>
      <c r="Q15" s="13" t="s">
        <v>109</v>
      </c>
      <c r="R15" s="6">
        <v>-22.348393544019206</v>
      </c>
    </row>
    <row r="16" spans="2:18" x14ac:dyDescent="0.3">
      <c r="B16" s="3">
        <v>8</v>
      </c>
      <c r="C16" s="4">
        <v>407.92598052767181</v>
      </c>
      <c r="D16" s="5">
        <v>25</v>
      </c>
      <c r="E16" s="4">
        <v>475.70953285771714</v>
      </c>
      <c r="F16" s="7">
        <v>1.7343043486568708</v>
      </c>
      <c r="G16" s="4">
        <v>79.946350834994291</v>
      </c>
      <c r="H16" s="4">
        <v>268.76481394998945</v>
      </c>
      <c r="I16" s="4">
        <f t="shared" si="0"/>
        <v>134.77598052767183</v>
      </c>
      <c r="K16" s="9" t="s">
        <v>46</v>
      </c>
      <c r="L16" s="7">
        <v>3.3257922587167379E-2</v>
      </c>
      <c r="N16" s="9" t="s">
        <v>81</v>
      </c>
      <c r="O16" s="10">
        <v>52.432314177470438</v>
      </c>
      <c r="Q16" s="13" t="s">
        <v>110</v>
      </c>
      <c r="R16" s="6">
        <v>149375.6241707881</v>
      </c>
    </row>
    <row r="17" spans="2:25" x14ac:dyDescent="0.3">
      <c r="B17" s="3">
        <v>9</v>
      </c>
      <c r="C17" s="4">
        <v>547.69370647629023</v>
      </c>
      <c r="D17" s="5">
        <v>25</v>
      </c>
      <c r="E17" s="4">
        <v>685.31357954095802</v>
      </c>
      <c r="F17" s="7">
        <v>2.180095650521598</v>
      </c>
      <c r="G17" s="4">
        <v>79.946350834994291</v>
      </c>
      <c r="H17" s="4">
        <v>345.4561839822619</v>
      </c>
      <c r="I17" s="4">
        <f t="shared" si="0"/>
        <v>274.54370647629025</v>
      </c>
      <c r="K17" s="11" t="s">
        <v>55</v>
      </c>
      <c r="L17" s="16">
        <v>-3.2808684015299132</v>
      </c>
      <c r="N17" s="9" t="s">
        <v>82</v>
      </c>
      <c r="O17" s="10">
        <v>36.901993581878948</v>
      </c>
      <c r="Q17" s="13" t="s">
        <v>111</v>
      </c>
      <c r="R17" s="6">
        <v>121456.51249638916</v>
      </c>
    </row>
    <row r="18" spans="2:25" x14ac:dyDescent="0.3">
      <c r="B18" s="3">
        <v>10</v>
      </c>
      <c r="C18" s="4">
        <v>547.69370647629023</v>
      </c>
      <c r="D18" s="5">
        <v>25</v>
      </c>
      <c r="E18" s="4">
        <v>685.31357954095802</v>
      </c>
      <c r="F18" s="7">
        <v>2.180095650521598</v>
      </c>
      <c r="G18" s="4">
        <v>20.053649165005705</v>
      </c>
      <c r="H18" s="4">
        <v>345.4561839822619</v>
      </c>
      <c r="I18" s="4">
        <f t="shared" si="0"/>
        <v>274.54370647629025</v>
      </c>
      <c r="N18" s="9" t="s">
        <v>83</v>
      </c>
      <c r="O18" s="10">
        <v>53.497400064021491</v>
      </c>
      <c r="Q18" s="13" t="s">
        <v>112</v>
      </c>
      <c r="R18" s="6">
        <v>21403100.470866345</v>
      </c>
    </row>
    <row r="19" spans="2:25" x14ac:dyDescent="0.3">
      <c r="B19" s="3">
        <v>11</v>
      </c>
      <c r="C19" s="4">
        <v>547.69370647629023</v>
      </c>
      <c r="D19" s="5">
        <v>25</v>
      </c>
      <c r="E19" s="4">
        <v>685.31357954095802</v>
      </c>
      <c r="F19" s="7">
        <v>2.180095650521598</v>
      </c>
      <c r="G19" s="4">
        <v>100</v>
      </c>
      <c r="H19" s="4">
        <v>345.4561839822619</v>
      </c>
      <c r="I19" s="4">
        <f t="shared" si="0"/>
        <v>274.54370647629025</v>
      </c>
      <c r="K19" s="29" t="s">
        <v>58</v>
      </c>
      <c r="L19" s="29"/>
      <c r="N19" s="9" t="s">
        <v>84</v>
      </c>
      <c r="O19" s="10">
        <v>55.302895315550685</v>
      </c>
      <c r="Q19" s="13" t="s">
        <v>123</v>
      </c>
      <c r="R19" s="6">
        <v>24957461.093185224</v>
      </c>
    </row>
    <row r="20" spans="2:25" x14ac:dyDescent="0.3">
      <c r="B20" s="3">
        <v>12</v>
      </c>
      <c r="C20" s="4">
        <v>932.93660164805499</v>
      </c>
      <c r="D20" s="5">
        <v>25</v>
      </c>
      <c r="E20" s="4">
        <v>1170.3644353608943</v>
      </c>
      <c r="F20" s="7">
        <v>2.8511829889834948</v>
      </c>
      <c r="G20" s="4">
        <v>100</v>
      </c>
      <c r="H20" s="4">
        <v>630.42234983978369</v>
      </c>
      <c r="I20" s="4">
        <f t="shared" si="0"/>
        <v>659.78660164805501</v>
      </c>
      <c r="K20" s="13" t="s">
        <v>59</v>
      </c>
      <c r="L20" s="4">
        <v>1128.9074473722574</v>
      </c>
      <c r="N20" s="9" t="s">
        <v>85</v>
      </c>
      <c r="O20" s="10">
        <v>3.4935322440475987</v>
      </c>
      <c r="Q20" s="28" t="s">
        <v>117</v>
      </c>
      <c r="R20" s="28"/>
      <c r="S20" s="28" t="s">
        <v>117</v>
      </c>
      <c r="T20" s="28"/>
    </row>
    <row r="21" spans="2:25" x14ac:dyDescent="0.3">
      <c r="B21" s="3">
        <v>17</v>
      </c>
      <c r="C21" s="4">
        <v>313.14999999999998</v>
      </c>
      <c r="D21" s="5">
        <v>7.8923107438086744</v>
      </c>
      <c r="E21" s="4">
        <v>-132.35463919610541</v>
      </c>
      <c r="F21" s="7">
        <v>-0.37994748587359245</v>
      </c>
      <c r="G21" s="4">
        <v>17.89815043892197</v>
      </c>
      <c r="H21" s="4">
        <v>0.52460446529691762</v>
      </c>
      <c r="I21" s="4">
        <f t="shared" si="0"/>
        <v>40</v>
      </c>
      <c r="K21" s="13" t="s">
        <v>60</v>
      </c>
      <c r="L21" s="4">
        <v>334.39766563166074</v>
      </c>
      <c r="N21" s="9" t="s">
        <v>86</v>
      </c>
      <c r="O21" s="10">
        <v>22.472364524327524</v>
      </c>
      <c r="Q21" s="22" t="s">
        <v>118</v>
      </c>
      <c r="R21" s="22" t="s">
        <v>41</v>
      </c>
      <c r="S21" s="22" t="s">
        <v>118</v>
      </c>
      <c r="T21" s="22" t="s">
        <v>41</v>
      </c>
    </row>
    <row r="22" spans="2:25" x14ac:dyDescent="0.3">
      <c r="B22" s="3">
        <v>18</v>
      </c>
      <c r="C22" s="4">
        <v>313.1583575108412</v>
      </c>
      <c r="D22" s="5">
        <v>31.569242975234697</v>
      </c>
      <c r="E22" s="4">
        <v>-132.32179590986752</v>
      </c>
      <c r="F22" s="7">
        <v>-0.37993175416231956</v>
      </c>
      <c r="G22" s="4">
        <v>17.89815043892197</v>
      </c>
      <c r="H22" s="4">
        <v>0.55275734181882941</v>
      </c>
      <c r="I22" s="4">
        <f t="shared" si="0"/>
        <v>40.008357510841222</v>
      </c>
      <c r="K22" s="13" t="s">
        <v>61</v>
      </c>
      <c r="L22" s="4">
        <v>71.721081948712694</v>
      </c>
      <c r="N22" s="9" t="s">
        <v>87</v>
      </c>
      <c r="O22" s="6">
        <v>36.167181648495081</v>
      </c>
      <c r="Q22" s="23" t="s">
        <v>113</v>
      </c>
      <c r="R22" s="24">
        <v>24046.390970622553</v>
      </c>
      <c r="S22" s="23" t="s">
        <v>129</v>
      </c>
      <c r="T22" s="27">
        <v>0</v>
      </c>
    </row>
    <row r="23" spans="2:25" x14ac:dyDescent="0.3">
      <c r="B23" s="3" t="s">
        <v>35</v>
      </c>
      <c r="C23" s="4">
        <v>347.24648058947918</v>
      </c>
      <c r="D23" s="5">
        <v>31.569242975234697</v>
      </c>
      <c r="E23" s="4">
        <v>-70.674595063457787</v>
      </c>
      <c r="F23" s="7">
        <v>-0.19317568283781225</v>
      </c>
      <c r="G23" s="4">
        <v>17.89815043892197</v>
      </c>
      <c r="H23" s="4">
        <v>6.518635522826691</v>
      </c>
      <c r="I23" s="4">
        <f t="shared" si="0"/>
        <v>74.096480589479199</v>
      </c>
      <c r="K23" s="13" t="s">
        <v>62</v>
      </c>
      <c r="L23" s="4">
        <v>68.790513232882915</v>
      </c>
      <c r="N23" s="9" t="s">
        <v>88</v>
      </c>
      <c r="O23" s="6">
        <v>22.917512377362197</v>
      </c>
      <c r="Q23" s="23" t="s">
        <v>114</v>
      </c>
      <c r="R23" s="24">
        <v>42594227.213088371</v>
      </c>
      <c r="S23" s="23" t="s">
        <v>128</v>
      </c>
      <c r="T23" s="27">
        <v>0</v>
      </c>
    </row>
    <row r="24" spans="2:25" x14ac:dyDescent="0.3">
      <c r="B24" s="3" t="s">
        <v>36</v>
      </c>
      <c r="C24" s="4">
        <v>347.24648058947918</v>
      </c>
      <c r="D24" s="5">
        <v>31.569242975234697</v>
      </c>
      <c r="E24" s="4">
        <v>313.00054226931974</v>
      </c>
      <c r="F24" s="7">
        <v>0.91173151933586583</v>
      </c>
      <c r="G24" s="4">
        <v>17.89815043892197</v>
      </c>
      <c r="H24" s="4">
        <v>60.765690527522125</v>
      </c>
      <c r="I24" s="4">
        <f t="shared" si="0"/>
        <v>74.096480589479199</v>
      </c>
      <c r="K24" s="13" t="s">
        <v>63</v>
      </c>
      <c r="L24" s="4">
        <v>2.9238501029143915</v>
      </c>
      <c r="N24" s="11" t="s">
        <v>89</v>
      </c>
      <c r="O24" s="15">
        <v>22.919558145685983</v>
      </c>
      <c r="Q24" s="23" t="s">
        <v>115</v>
      </c>
      <c r="R24" s="24">
        <v>2023167.7075799552</v>
      </c>
      <c r="S24" s="23" t="s">
        <v>127</v>
      </c>
      <c r="T24" s="27">
        <v>24957461.093185224</v>
      </c>
      <c r="V24" s="9"/>
      <c r="W24" s="9"/>
      <c r="X24" s="9"/>
      <c r="Y24" s="9"/>
    </row>
    <row r="25" spans="2:25" x14ac:dyDescent="0.3">
      <c r="B25" s="3">
        <v>15</v>
      </c>
      <c r="C25" s="4">
        <v>396.4382571755965</v>
      </c>
      <c r="D25" s="5">
        <v>31.569242975234697</v>
      </c>
      <c r="E25" s="4">
        <v>383.09995906623425</v>
      </c>
      <c r="F25" s="7">
        <v>1.100267344850671</v>
      </c>
      <c r="G25" s="4">
        <v>17.89815043892197</v>
      </c>
      <c r="H25" s="4">
        <v>74.65315094719746</v>
      </c>
      <c r="I25" s="4">
        <f t="shared" si="0"/>
        <v>123.28825717559653</v>
      </c>
      <c r="K25" s="13" t="s">
        <v>64</v>
      </c>
      <c r="L25" s="4">
        <v>1275.3830074447171</v>
      </c>
      <c r="Q25" s="9"/>
      <c r="R25" s="9"/>
      <c r="S25" s="9"/>
      <c r="T25" s="26">
        <v>48195801.93395783</v>
      </c>
      <c r="V25" s="9"/>
      <c r="W25" s="9"/>
      <c r="X25" s="9"/>
      <c r="Y25" s="9"/>
    </row>
    <row r="26" spans="2:25" x14ac:dyDescent="0.3">
      <c r="B26" s="3">
        <v>16</v>
      </c>
      <c r="C26" s="4">
        <v>368.14329244204333</v>
      </c>
      <c r="D26" s="5">
        <v>7.8923107438086744</v>
      </c>
      <c r="E26" s="4">
        <v>342.99545725431005</v>
      </c>
      <c r="F26" s="7">
        <v>1.1196252392794583</v>
      </c>
      <c r="G26" s="4">
        <v>17.89815043892197</v>
      </c>
      <c r="H26" s="4">
        <v>28.777092911330342</v>
      </c>
      <c r="I26" s="4">
        <f t="shared" si="0"/>
        <v>94.993292442043355</v>
      </c>
      <c r="N26" s="29" t="s">
        <v>76</v>
      </c>
      <c r="O26" s="29"/>
      <c r="Q26" s="9"/>
      <c r="R26" s="9"/>
      <c r="S26" s="9"/>
      <c r="T26" s="9"/>
      <c r="V26" s="9"/>
      <c r="W26" s="9"/>
      <c r="X26" s="9"/>
      <c r="Y26" s="9"/>
    </row>
    <row r="27" spans="2:25" x14ac:dyDescent="0.3">
      <c r="B27" s="3" t="s">
        <v>28</v>
      </c>
      <c r="C27" s="4">
        <v>313.14999999999998</v>
      </c>
      <c r="D27" s="5">
        <v>7.8923107438086744</v>
      </c>
      <c r="E27" s="4">
        <v>271.65055019539255</v>
      </c>
      <c r="F27" s="7">
        <v>0.91018564327057938</v>
      </c>
      <c r="G27" s="4">
        <v>17.89815043892197</v>
      </c>
      <c r="H27" s="4">
        <v>19.876601402460075</v>
      </c>
      <c r="I27" s="4">
        <f t="shared" si="0"/>
        <v>40</v>
      </c>
      <c r="N27" s="13" t="s">
        <v>77</v>
      </c>
      <c r="O27" s="6">
        <v>0.71269346475761464</v>
      </c>
      <c r="Q27" s="9"/>
      <c r="R27" s="9"/>
      <c r="S27" s="9"/>
      <c r="T27" s="9"/>
      <c r="U27" s="9"/>
      <c r="V27" s="9"/>
      <c r="W27" s="9"/>
      <c r="X27" s="9"/>
      <c r="Y27" s="9"/>
    </row>
    <row r="28" spans="2:25" x14ac:dyDescent="0.3">
      <c r="B28" s="3" t="s">
        <v>37</v>
      </c>
      <c r="C28" s="4">
        <v>298.14999999999998</v>
      </c>
      <c r="D28" s="5">
        <v>101.325</v>
      </c>
      <c r="E28" s="4">
        <v>104.92011957080643</v>
      </c>
      <c r="F28" s="7">
        <v>0.36719964130372146</v>
      </c>
      <c r="G28" s="4">
        <v>345.9386726638856</v>
      </c>
      <c r="H28" s="4">
        <v>2.5073905791015251E-5</v>
      </c>
      <c r="I28" s="4">
        <f t="shared" si="0"/>
        <v>25</v>
      </c>
      <c r="N28" s="13" t="s">
        <v>78</v>
      </c>
      <c r="O28" s="6">
        <v>0.99770990140218263</v>
      </c>
      <c r="Q28" s="9"/>
      <c r="R28" s="9"/>
      <c r="S28" s="9"/>
      <c r="T28" s="9"/>
      <c r="U28" s="9"/>
      <c r="V28" s="9"/>
      <c r="W28" s="9"/>
      <c r="X28" s="9"/>
      <c r="Y28" s="9"/>
    </row>
    <row r="29" spans="2:25" x14ac:dyDescent="0.3">
      <c r="B29" s="3" t="s">
        <v>38</v>
      </c>
      <c r="C29" s="4">
        <v>303.14999999999998</v>
      </c>
      <c r="D29" s="5">
        <v>101.325</v>
      </c>
      <c r="E29" s="4">
        <v>125.82251132178534</v>
      </c>
      <c r="F29" s="7">
        <v>0.43672528196163279</v>
      </c>
      <c r="G29" s="4">
        <v>345.9386726638856</v>
      </c>
      <c r="H29" s="4">
        <v>0.17334706272843686</v>
      </c>
      <c r="I29" s="4">
        <f t="shared" si="0"/>
        <v>30</v>
      </c>
      <c r="N29" s="14" t="s">
        <v>79</v>
      </c>
      <c r="O29" s="15">
        <v>0.6</v>
      </c>
      <c r="Q29" s="9"/>
      <c r="R29" s="9"/>
      <c r="S29" s="9"/>
      <c r="T29" s="9"/>
      <c r="U29" s="9"/>
      <c r="V29" s="9"/>
      <c r="W29" s="9"/>
      <c r="X29" s="9"/>
      <c r="Y29" s="9"/>
    </row>
    <row r="30" spans="2:25" x14ac:dyDescent="0.3">
      <c r="B30" s="3" t="s">
        <v>39</v>
      </c>
      <c r="C30" s="4">
        <v>304.03312670606874</v>
      </c>
      <c r="D30" s="5">
        <v>101.325</v>
      </c>
      <c r="E30" s="4">
        <v>129.51374904828285</v>
      </c>
      <c r="F30" s="7">
        <v>0.44888385544072534</v>
      </c>
      <c r="G30" s="4">
        <v>345.9386726638856</v>
      </c>
      <c r="H30" s="4">
        <v>0.23950610643450637</v>
      </c>
      <c r="I30" s="4">
        <f t="shared" si="0"/>
        <v>30.883126706068765</v>
      </c>
      <c r="Q30" s="9"/>
      <c r="R30" s="9"/>
      <c r="S30" s="9"/>
      <c r="T30" s="9"/>
      <c r="U30" s="9"/>
      <c r="V30" s="9"/>
      <c r="W30" s="9"/>
      <c r="X30" s="9"/>
      <c r="Y30" s="9"/>
    </row>
    <row r="31" spans="2:25" x14ac:dyDescent="0.3">
      <c r="B31" s="3" t="s">
        <v>29</v>
      </c>
      <c r="C31" s="4">
        <v>435.4382571755965</v>
      </c>
      <c r="D31" s="5">
        <v>9124.0875912408756</v>
      </c>
      <c r="E31" s="4">
        <v>591.20237940555796</v>
      </c>
      <c r="F31" s="7">
        <v>2.1610567826542426</v>
      </c>
      <c r="G31" s="4">
        <v>79.946350834994291</v>
      </c>
      <c r="H31" s="4">
        <v>257.03525167707909</v>
      </c>
      <c r="I31" s="4">
        <f t="shared" si="0"/>
        <v>162.28825717559653</v>
      </c>
      <c r="Q31" s="9"/>
      <c r="R31" s="9"/>
      <c r="S31" s="9"/>
      <c r="T31" s="9"/>
      <c r="U31" s="9"/>
      <c r="V31" s="9"/>
      <c r="W31" s="9"/>
      <c r="X31" s="9"/>
      <c r="Y31" s="9"/>
    </row>
    <row r="32" spans="2:25" x14ac:dyDescent="0.3">
      <c r="B32" s="3" t="s">
        <v>30</v>
      </c>
      <c r="C32" s="4">
        <v>423.35913575479753</v>
      </c>
      <c r="D32" s="5">
        <v>9124.0875912408756</v>
      </c>
      <c r="E32" s="4">
        <v>576.60060448894728</v>
      </c>
      <c r="F32" s="7">
        <v>2.1270479527453361</v>
      </c>
      <c r="G32" s="4">
        <v>79.946350834994291</v>
      </c>
      <c r="H32" s="4">
        <v>252.57320939780874</v>
      </c>
      <c r="I32" s="4">
        <f t="shared" si="0"/>
        <v>150.20913575479756</v>
      </c>
      <c r="Q32" s="9"/>
      <c r="R32" s="9"/>
      <c r="S32" s="9"/>
      <c r="T32" s="9"/>
      <c r="U32" s="9"/>
      <c r="V32" s="9"/>
      <c r="W32" s="9"/>
      <c r="X32" s="9"/>
      <c r="Y32" s="9"/>
    </row>
    <row r="33" spans="2:25" x14ac:dyDescent="0.3">
      <c r="B33" s="3" t="s">
        <v>31</v>
      </c>
      <c r="C33" s="4">
        <v>357.24648058947918</v>
      </c>
      <c r="D33" s="5">
        <v>9124.0875912408756</v>
      </c>
      <c r="E33" s="4">
        <v>487.05207701453503</v>
      </c>
      <c r="F33" s="7">
        <v>1.8961819516546079</v>
      </c>
      <c r="G33" s="4">
        <v>79.946350834994291</v>
      </c>
      <c r="H33" s="4">
        <v>231.85738014859709</v>
      </c>
      <c r="I33" s="4">
        <f t="shared" si="0"/>
        <v>84.096480589479199</v>
      </c>
      <c r="Q33" s="9"/>
      <c r="R33" s="9"/>
      <c r="S33" s="9"/>
      <c r="T33" s="9"/>
      <c r="U33" s="9"/>
      <c r="V33" s="9"/>
      <c r="W33" s="9"/>
      <c r="X33" s="9"/>
      <c r="Y33" s="9"/>
    </row>
    <row r="34" spans="2:25" x14ac:dyDescent="0.3">
      <c r="B34" s="2" t="s">
        <v>32</v>
      </c>
      <c r="C34" s="4">
        <v>346.62379557580101</v>
      </c>
      <c r="D34" s="5">
        <v>9124.0875912408756</v>
      </c>
      <c r="E34" s="4">
        <v>468.83049635692191</v>
      </c>
      <c r="F34" s="7">
        <v>1.8443861945514715</v>
      </c>
      <c r="G34" s="4">
        <v>79.946350834994291</v>
      </c>
      <c r="H34" s="4">
        <v>229.07870447128417</v>
      </c>
      <c r="I34" s="4">
        <f t="shared" si="0"/>
        <v>73.473795575801034</v>
      </c>
    </row>
    <row r="35" spans="2:25" x14ac:dyDescent="0.3">
      <c r="B35" s="2">
        <v>13</v>
      </c>
      <c r="C35" s="4">
        <v>298.14999999999998</v>
      </c>
      <c r="D35" s="5">
        <v>0.101325</v>
      </c>
      <c r="E35" s="4">
        <v>424.43605428165802</v>
      </c>
      <c r="F35" s="7">
        <v>3.8804887263997387</v>
      </c>
      <c r="G35" s="4">
        <v>1.1599999999999999</v>
      </c>
      <c r="H35" s="4">
        <v>2.1111792130950945E-2</v>
      </c>
      <c r="I35" s="4">
        <f t="shared" si="0"/>
        <v>25</v>
      </c>
    </row>
    <row r="36" spans="2:25" x14ac:dyDescent="0.3">
      <c r="B36" s="2">
        <v>14</v>
      </c>
      <c r="C36" s="4">
        <v>278.14999999999998</v>
      </c>
      <c r="D36" s="5">
        <v>0.101325</v>
      </c>
      <c r="E36" s="4">
        <v>453.10667720162991</v>
      </c>
      <c r="F36" s="7">
        <v>3.9723306469545014</v>
      </c>
      <c r="G36" s="4">
        <v>1.1599999999999999</v>
      </c>
      <c r="H36" s="4">
        <v>1.3090660987003904</v>
      </c>
      <c r="I36" s="4">
        <f t="shared" si="0"/>
        <v>5</v>
      </c>
    </row>
    <row r="37" spans="2:25" x14ac:dyDescent="0.3">
      <c r="B37" s="2" t="s">
        <v>32</v>
      </c>
      <c r="C37" s="4">
        <v>346.62379557580101</v>
      </c>
      <c r="D37" s="5">
        <v>9.1240875912408761</v>
      </c>
      <c r="E37" s="4">
        <v>468.83049635692191</v>
      </c>
      <c r="F37" s="7">
        <v>1.8443861945514715</v>
      </c>
      <c r="G37" s="4">
        <v>79.946350834994291</v>
      </c>
      <c r="H37" s="4">
        <v>229.07870447128417</v>
      </c>
      <c r="I37" s="4">
        <f t="shared" si="0"/>
        <v>73.473795575801034</v>
      </c>
    </row>
    <row r="38" spans="2:25" x14ac:dyDescent="0.3">
      <c r="B38" s="2" t="s">
        <v>33</v>
      </c>
      <c r="C38" s="4">
        <v>346.39737970663185</v>
      </c>
      <c r="D38" s="5">
        <v>9.1240875912408761</v>
      </c>
      <c r="E38" s="4">
        <v>468.41449334690572</v>
      </c>
      <c r="F38" s="7">
        <v>1.8431856450668949</v>
      </c>
      <c r="G38" s="4">
        <v>79.946350834994291</v>
      </c>
      <c r="H38" s="4">
        <v>229.02064529009442</v>
      </c>
      <c r="I38" s="4">
        <f t="shared" si="0"/>
        <v>73.247379706631875</v>
      </c>
    </row>
    <row r="39" spans="2:25" x14ac:dyDescent="0.3">
      <c r="B39" s="2" t="s">
        <v>33</v>
      </c>
      <c r="C39" s="4">
        <v>346.39737970663185</v>
      </c>
      <c r="D39" s="5">
        <v>9124.0875912408756</v>
      </c>
      <c r="E39" s="4">
        <v>468.41449334022548</v>
      </c>
      <c r="F39" s="7">
        <v>1.8431856450668949</v>
      </c>
      <c r="G39" s="4">
        <v>79.946350834994291</v>
      </c>
      <c r="H39" s="4">
        <v>229.02064528341415</v>
      </c>
      <c r="I39" s="4">
        <f t="shared" si="0"/>
        <v>73.247379706631875</v>
      </c>
    </row>
    <row r="40" spans="2:25" x14ac:dyDescent="0.3">
      <c r="B40" s="2">
        <v>7</v>
      </c>
      <c r="C40" s="4">
        <v>328.15</v>
      </c>
      <c r="D40" s="5">
        <v>9124.0875912408756</v>
      </c>
      <c r="E40" s="4">
        <v>427.37611738856413</v>
      </c>
      <c r="F40" s="7">
        <v>1.72122584179495</v>
      </c>
      <c r="G40" s="4">
        <v>79.946350834994291</v>
      </c>
      <c r="H40" s="4">
        <v>224.34458467728319</v>
      </c>
      <c r="I40" s="4">
        <f t="shared" si="0"/>
        <v>55</v>
      </c>
    </row>
    <row r="41" spans="2:25" x14ac:dyDescent="0.3">
      <c r="B41" s="2">
        <v>19</v>
      </c>
      <c r="C41" s="4">
        <v>298.14999999999998</v>
      </c>
      <c r="D41" s="5">
        <v>101.325</v>
      </c>
      <c r="E41" s="4">
        <v>104.92011957080643</v>
      </c>
      <c r="F41" s="7">
        <v>0.36719964130372146</v>
      </c>
      <c r="G41" s="4">
        <v>1.9801295635402501E-2</v>
      </c>
      <c r="H41" s="4">
        <v>2.5073905791015251E-5</v>
      </c>
      <c r="I41" s="4">
        <f t="shared" si="0"/>
        <v>25</v>
      </c>
    </row>
    <row r="42" spans="2:25" x14ac:dyDescent="0.3">
      <c r="B42" s="2">
        <v>20</v>
      </c>
      <c r="C42" s="4">
        <v>345.39737970663185</v>
      </c>
      <c r="D42" s="5">
        <v>101.325</v>
      </c>
      <c r="E42" s="4">
        <v>302.54072536549046</v>
      </c>
      <c r="F42" s="7">
        <v>0.98244738595667158</v>
      </c>
      <c r="G42" s="4">
        <v>1.9801295635402501E-2</v>
      </c>
      <c r="H42" s="4">
        <v>14.184515800312743</v>
      </c>
      <c r="I42" s="4">
        <f t="shared" si="0"/>
        <v>72.247379706631875</v>
      </c>
    </row>
  </sheetData>
  <mergeCells count="8">
    <mergeCell ref="S20:T20"/>
    <mergeCell ref="N26:O26"/>
    <mergeCell ref="K2:L2"/>
    <mergeCell ref="K19:L19"/>
    <mergeCell ref="Q2:R2"/>
    <mergeCell ref="Q20:R20"/>
    <mergeCell ref="N2:O2"/>
    <mergeCell ref="N14:O14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BA90F-813A-493D-869A-57A3178EDC43}">
  <dimension ref="A1:M26"/>
  <sheetViews>
    <sheetView tabSelected="1" workbookViewId="0">
      <selection activeCell="K2" sqref="K2:M2"/>
    </sheetView>
  </sheetViews>
  <sheetFormatPr baseColWidth="10" defaultRowHeight="14.4" x14ac:dyDescent="0.3"/>
  <cols>
    <col min="2" max="2" width="22.77734375" bestFit="1" customWidth="1"/>
    <col min="3" max="3" width="12.6640625" bestFit="1" customWidth="1"/>
    <col min="5" max="5" width="14.44140625" bestFit="1" customWidth="1"/>
    <col min="6" max="6" width="12.6640625" bestFit="1" customWidth="1"/>
    <col min="8" max="8" width="12.6640625" bestFit="1" customWidth="1"/>
    <col min="11" max="11" width="14.77734375" bestFit="1" customWidth="1"/>
    <col min="12" max="12" width="15.33203125" bestFit="1" customWidth="1"/>
    <col min="13" max="13" width="22.33203125" bestFit="1" customWidth="1"/>
  </cols>
  <sheetData>
    <row r="1" spans="1:13" x14ac:dyDescent="0.3">
      <c r="A1" s="1" t="s">
        <v>234</v>
      </c>
      <c r="B1" s="1" t="s">
        <v>235</v>
      </c>
      <c r="C1" s="1" t="s">
        <v>202</v>
      </c>
      <c r="E1" s="1" t="s">
        <v>227</v>
      </c>
      <c r="F1" s="1" t="s">
        <v>236</v>
      </c>
      <c r="G1" s="1" t="s">
        <v>237</v>
      </c>
      <c r="H1" s="1" t="s">
        <v>238</v>
      </c>
      <c r="I1" s="1" t="s">
        <v>239</v>
      </c>
      <c r="K1" s="1" t="s">
        <v>240</v>
      </c>
      <c r="L1" s="1" t="s">
        <v>241</v>
      </c>
      <c r="M1" s="1" t="s">
        <v>242</v>
      </c>
    </row>
    <row r="2" spans="1:13" x14ac:dyDescent="0.3">
      <c r="A2" t="s">
        <v>203</v>
      </c>
      <c r="B2">
        <v>5.1731913323680587E-2</v>
      </c>
      <c r="C2">
        <v>3914.1005686252538</v>
      </c>
      <c r="E2" t="s">
        <v>66</v>
      </c>
      <c r="F2">
        <v>2503.1935161652605</v>
      </c>
      <c r="G2">
        <v>154.12694860114715</v>
      </c>
      <c r="H2">
        <v>7.9732819458779174</v>
      </c>
      <c r="I2">
        <v>99.682486963754258</v>
      </c>
      <c r="K2" s="31">
        <v>0.34909743323706877</v>
      </c>
      <c r="L2" s="31">
        <v>0.91088630043789787</v>
      </c>
      <c r="M2" s="31">
        <v>0.27584737694031641</v>
      </c>
    </row>
    <row r="3" spans="1:13" x14ac:dyDescent="0.3">
      <c r="A3" t="s">
        <v>204</v>
      </c>
      <c r="B3">
        <v>5.1731913323680594E-2</v>
      </c>
      <c r="C3">
        <v>3550.5739373103711</v>
      </c>
      <c r="E3" t="s">
        <v>67</v>
      </c>
      <c r="F3">
        <v>888.25965020835133</v>
      </c>
      <c r="G3">
        <v>280.65325482354871</v>
      </c>
      <c r="H3">
        <v>13.912184589022015</v>
      </c>
      <c r="I3">
        <v>98.457922975156208</v>
      </c>
    </row>
    <row r="4" spans="1:13" x14ac:dyDescent="0.3">
      <c r="A4" t="s">
        <v>205</v>
      </c>
      <c r="B4">
        <v>4.9570722412497346E-2</v>
      </c>
      <c r="C4">
        <v>3650.8970996336493</v>
      </c>
      <c r="E4" t="s">
        <v>69</v>
      </c>
      <c r="F4">
        <v>27.111169102991425</v>
      </c>
      <c r="G4">
        <v>311.73934843303778</v>
      </c>
      <c r="H4">
        <v>85.992481554336806</v>
      </c>
      <c r="I4">
        <v>23.970198084171948</v>
      </c>
    </row>
    <row r="5" spans="1:13" x14ac:dyDescent="0.3">
      <c r="A5" t="s">
        <v>206</v>
      </c>
      <c r="B5">
        <v>4.9570722412497353E-2</v>
      </c>
      <c r="C5">
        <v>3043.2041598578253</v>
      </c>
      <c r="E5" t="s">
        <v>70</v>
      </c>
      <c r="F5">
        <v>6.8005339576619255</v>
      </c>
      <c r="G5">
        <v>113.83330527634081</v>
      </c>
      <c r="H5">
        <v>31.400618668924892</v>
      </c>
      <c r="I5">
        <v>17.801907770000021</v>
      </c>
    </row>
    <row r="6" spans="1:13" x14ac:dyDescent="0.3">
      <c r="A6" t="s">
        <v>207</v>
      </c>
      <c r="B6">
        <v>4.9570722412497326E-2</v>
      </c>
      <c r="C6">
        <v>1613.4095672889889</v>
      </c>
      <c r="E6" t="s">
        <v>59</v>
      </c>
      <c r="F6">
        <v>10.532285533619728</v>
      </c>
      <c r="G6">
        <v>346.91288051130834</v>
      </c>
      <c r="H6">
        <v>17.19672210114593</v>
      </c>
      <c r="I6">
        <v>37.98291548095186</v>
      </c>
    </row>
    <row r="7" spans="1:13" x14ac:dyDescent="0.3">
      <c r="A7" t="s">
        <v>208</v>
      </c>
      <c r="B7">
        <v>4.9570722412497346E-2</v>
      </c>
      <c r="C7">
        <v>1274.0737578985556</v>
      </c>
      <c r="E7" t="s">
        <v>60</v>
      </c>
      <c r="F7">
        <v>5.1377091499340155</v>
      </c>
      <c r="G7">
        <v>714.29330882120883</v>
      </c>
      <c r="H7">
        <v>35.40803533268037</v>
      </c>
      <c r="I7">
        <v>12.67138935415778</v>
      </c>
    </row>
    <row r="8" spans="1:13" x14ac:dyDescent="0.3">
      <c r="A8" t="s">
        <v>209</v>
      </c>
      <c r="B8">
        <v>5.6564567203107923E-5</v>
      </c>
      <c r="C8">
        <v>1.01445300323212</v>
      </c>
      <c r="E8" t="s">
        <v>229</v>
      </c>
      <c r="F8">
        <v>2.0715042857927268</v>
      </c>
      <c r="G8">
        <v>908.7639387171597</v>
      </c>
      <c r="H8">
        <v>45.048084944636095</v>
      </c>
      <c r="I8">
        <v>4.3962698309241492</v>
      </c>
    </row>
    <row r="9" spans="1:13" x14ac:dyDescent="0.3">
      <c r="A9" t="s">
        <v>210</v>
      </c>
      <c r="B9">
        <v>5.09160848747457E-2</v>
      </c>
      <c r="C9">
        <v>1094.0220068462638</v>
      </c>
      <c r="E9" t="s">
        <v>230</v>
      </c>
      <c r="F9">
        <v>14.87368048383521</v>
      </c>
      <c r="G9">
        <v>103.30018156282743</v>
      </c>
      <c r="H9">
        <v>128.39674035958012</v>
      </c>
      <c r="I9">
        <v>10.381543096108523</v>
      </c>
    </row>
    <row r="10" spans="1:13" x14ac:dyDescent="0.3">
      <c r="A10" t="s">
        <v>211</v>
      </c>
      <c r="B10">
        <v>5.2085507350043407E-2</v>
      </c>
      <c r="C10">
        <v>1438.4955253866315</v>
      </c>
      <c r="E10" t="s">
        <v>231</v>
      </c>
      <c r="F10">
        <v>3.0925794872948675E-2</v>
      </c>
      <c r="G10">
        <v>8.3949658717157039E-2</v>
      </c>
      <c r="H10">
        <v>2.3157293152162538E-2</v>
      </c>
      <c r="I10">
        <v>57.182006431640112</v>
      </c>
    </row>
    <row r="11" spans="1:13" x14ac:dyDescent="0.3">
      <c r="A11" t="s">
        <v>212</v>
      </c>
      <c r="B11">
        <v>0.11301051802733234</v>
      </c>
      <c r="C11">
        <v>782.89811933408907</v>
      </c>
      <c r="E11" t="s">
        <v>232</v>
      </c>
      <c r="F11">
        <v>0.64803276948092892</v>
      </c>
      <c r="G11">
        <v>422.82153795985045</v>
      </c>
      <c r="H11">
        <v>525.54512883262078</v>
      </c>
      <c r="I11">
        <v>0.12315492043033435</v>
      </c>
    </row>
    <row r="12" spans="1:13" x14ac:dyDescent="0.3">
      <c r="A12" t="s">
        <v>213</v>
      </c>
      <c r="B12">
        <v>6.4303195245009187E-2</v>
      </c>
      <c r="C12">
        <v>2221.3936447207207</v>
      </c>
      <c r="E12" t="s">
        <v>63</v>
      </c>
      <c r="F12">
        <v>0.12782276758325392</v>
      </c>
      <c r="G12">
        <v>3.1475926729674328</v>
      </c>
      <c r="H12">
        <v>0.15602844265927923</v>
      </c>
      <c r="I12">
        <v>45.031609156796392</v>
      </c>
    </row>
    <row r="13" spans="1:13" x14ac:dyDescent="0.3">
      <c r="A13" t="s">
        <v>214</v>
      </c>
      <c r="B13">
        <v>5.8083608929057957E-2</v>
      </c>
      <c r="C13">
        <v>3661.7205228231765</v>
      </c>
      <c r="E13" t="s">
        <v>233</v>
      </c>
      <c r="F13">
        <v>2.9067425972745697</v>
      </c>
      <c r="G13">
        <v>373.5531104491323</v>
      </c>
      <c r="H13">
        <v>2.1129870019932807E-2</v>
      </c>
      <c r="I13">
        <v>99.278320000069613</v>
      </c>
    </row>
    <row r="14" spans="1:13" x14ac:dyDescent="0.3">
      <c r="A14" t="s">
        <v>215</v>
      </c>
      <c r="B14">
        <v>4.9570722412497333E-2</v>
      </c>
      <c r="C14">
        <v>255.49828151238043</v>
      </c>
      <c r="E14" s="30" t="s">
        <v>173</v>
      </c>
      <c r="F14" s="30">
        <v>38.53098439483005</v>
      </c>
      <c r="G14" s="30">
        <v>456.8011680060402</v>
      </c>
      <c r="H14" s="30">
        <v>126.00740397773897</v>
      </c>
      <c r="I14" s="30">
        <v>23.417625987428071</v>
      </c>
    </row>
    <row r="15" spans="1:13" x14ac:dyDescent="0.3">
      <c r="A15" t="s">
        <v>216</v>
      </c>
      <c r="B15">
        <v>4.9570722412497367E-2</v>
      </c>
      <c r="C15">
        <v>1018.5754763861755</v>
      </c>
    </row>
    <row r="16" spans="1:13" x14ac:dyDescent="0.3">
      <c r="A16" t="s">
        <v>217</v>
      </c>
      <c r="B16">
        <v>4.9570722412497367E-2</v>
      </c>
      <c r="C16">
        <v>0.90783853130662884</v>
      </c>
    </row>
    <row r="17" spans="1:3" x14ac:dyDescent="0.3">
      <c r="A17" t="s">
        <v>218</v>
      </c>
      <c r="B17">
        <v>5.6564567203115594E-5</v>
      </c>
      <c r="C17">
        <v>1.0356612988898828</v>
      </c>
    </row>
    <row r="18" spans="1:3" x14ac:dyDescent="0.3">
      <c r="A18" t="s">
        <v>228</v>
      </c>
      <c r="B18">
        <v>2E-3</v>
      </c>
      <c r="C18">
        <v>9.9299164260424743E-10</v>
      </c>
    </row>
    <row r="19" spans="1:3" x14ac:dyDescent="0.3">
      <c r="A19" t="s">
        <v>219</v>
      </c>
      <c r="B19">
        <v>10.424510362939218</v>
      </c>
      <c r="C19">
        <v>2.9279508939251864</v>
      </c>
    </row>
    <row r="20" spans="1:3" x14ac:dyDescent="0.3">
      <c r="A20" t="s">
        <v>220</v>
      </c>
      <c r="B20">
        <v>1.2429478672454113</v>
      </c>
      <c r="C20">
        <v>1660.7689273524077</v>
      </c>
    </row>
    <row r="21" spans="1:3" x14ac:dyDescent="0.3">
      <c r="A21" t="s">
        <v>221</v>
      </c>
      <c r="B21">
        <v>1.2429478672454113</v>
      </c>
      <c r="C21">
        <v>640.18867415890122</v>
      </c>
    </row>
    <row r="22" spans="1:3" x14ac:dyDescent="0.3">
      <c r="A22" t="s">
        <v>222</v>
      </c>
      <c r="B22">
        <v>68.250720909430768</v>
      </c>
      <c r="C22">
        <v>640.83670692838211</v>
      </c>
    </row>
    <row r="23" spans="1:3" x14ac:dyDescent="0.3">
      <c r="A23" t="s">
        <v>223</v>
      </c>
      <c r="B23">
        <v>64.794110996165372</v>
      </c>
      <c r="C23">
        <v>641.029785211746</v>
      </c>
    </row>
    <row r="24" spans="1:3" x14ac:dyDescent="0.3">
      <c r="A24" t="s">
        <v>224</v>
      </c>
      <c r="B24">
        <v>0.91088630043789787</v>
      </c>
      <c r="C24">
        <v>236.37108787388058</v>
      </c>
    </row>
    <row r="25" spans="1:3" x14ac:dyDescent="0.3">
      <c r="A25" t="s">
        <v>225</v>
      </c>
      <c r="B25">
        <v>0</v>
      </c>
      <c r="C25">
        <v>0</v>
      </c>
    </row>
    <row r="26" spans="1:3" x14ac:dyDescent="0.3">
      <c r="A26" s="30" t="s">
        <v>226</v>
      </c>
      <c r="B26" s="30">
        <v>0.27584737694031641</v>
      </c>
      <c r="C26" s="30">
        <v>197.84010347905053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0693F-D387-4367-8A44-8725A6CA7BA7}">
  <dimension ref="A1:AF33"/>
  <sheetViews>
    <sheetView topLeftCell="T1" workbookViewId="0">
      <selection activeCell="U21" sqref="U21"/>
    </sheetView>
  </sheetViews>
  <sheetFormatPr baseColWidth="10" defaultRowHeight="14.4" x14ac:dyDescent="0.3"/>
  <sheetData>
    <row r="1" spans="1:32" x14ac:dyDescent="0.3">
      <c r="B1" t="s">
        <v>130</v>
      </c>
      <c r="C1" t="s">
        <v>37</v>
      </c>
      <c r="D1" t="s">
        <v>38</v>
      </c>
      <c r="E1" t="s">
        <v>39</v>
      </c>
      <c r="F1" t="s">
        <v>131</v>
      </c>
      <c r="G1" t="s">
        <v>132</v>
      </c>
      <c r="H1" t="s">
        <v>133</v>
      </c>
      <c r="I1" t="s">
        <v>134</v>
      </c>
      <c r="J1" t="s">
        <v>193</v>
      </c>
      <c r="K1" t="s">
        <v>194</v>
      </c>
      <c r="L1" t="s">
        <v>195</v>
      </c>
      <c r="M1" t="s">
        <v>135</v>
      </c>
      <c r="N1" t="s">
        <v>136</v>
      </c>
      <c r="O1" t="s">
        <v>137</v>
      </c>
      <c r="P1" t="s">
        <v>138</v>
      </c>
      <c r="Q1" t="s">
        <v>139</v>
      </c>
      <c r="R1" t="s">
        <v>140</v>
      </c>
      <c r="S1" t="s">
        <v>141</v>
      </c>
      <c r="T1" t="s">
        <v>142</v>
      </c>
      <c r="U1" t="s">
        <v>143</v>
      </c>
      <c r="V1" t="s">
        <v>144</v>
      </c>
      <c r="W1" t="s">
        <v>145</v>
      </c>
      <c r="X1" t="s">
        <v>146</v>
      </c>
      <c r="Y1" t="s">
        <v>147</v>
      </c>
      <c r="Z1" t="s">
        <v>148</v>
      </c>
      <c r="AA1" t="s">
        <v>149</v>
      </c>
      <c r="AB1" t="s">
        <v>150</v>
      </c>
      <c r="AC1" t="s">
        <v>151</v>
      </c>
      <c r="AD1" t="s">
        <v>152</v>
      </c>
      <c r="AE1" t="s">
        <v>153</v>
      </c>
      <c r="AF1" t="s">
        <v>190</v>
      </c>
    </row>
    <row r="2" spans="1:32" x14ac:dyDescent="0.3">
      <c r="A2" t="s">
        <v>154</v>
      </c>
      <c r="B2" t="s">
        <v>155</v>
      </c>
      <c r="C2">
        <v>1</v>
      </c>
      <c r="D2">
        <v>-1</v>
      </c>
      <c r="X2">
        <v>-1</v>
      </c>
    </row>
    <row r="3" spans="1:32" x14ac:dyDescent="0.3">
      <c r="A3" t="s">
        <v>176</v>
      </c>
      <c r="B3">
        <v>0</v>
      </c>
      <c r="C3">
        <v>-1</v>
      </c>
      <c r="D3" t="s">
        <v>177</v>
      </c>
    </row>
    <row r="4" spans="1:32" x14ac:dyDescent="0.3">
      <c r="A4" t="s">
        <v>156</v>
      </c>
      <c r="B4" t="s">
        <v>157</v>
      </c>
      <c r="E4">
        <v>1</v>
      </c>
      <c r="F4">
        <v>-1</v>
      </c>
      <c r="Z4">
        <v>-1</v>
      </c>
    </row>
    <row r="5" spans="1:32" x14ac:dyDescent="0.3">
      <c r="A5" t="s">
        <v>187</v>
      </c>
      <c r="B5">
        <v>0</v>
      </c>
      <c r="E5">
        <v>-1</v>
      </c>
      <c r="F5" t="s">
        <v>178</v>
      </c>
    </row>
    <row r="6" spans="1:32" x14ac:dyDescent="0.3">
      <c r="A6" t="s">
        <v>37</v>
      </c>
      <c r="B6" t="s">
        <v>158</v>
      </c>
      <c r="M6">
        <v>1</v>
      </c>
      <c r="N6">
        <v>-1</v>
      </c>
      <c r="AA6">
        <v>1</v>
      </c>
    </row>
    <row r="7" spans="1:32" x14ac:dyDescent="0.3">
      <c r="A7" t="s">
        <v>38</v>
      </c>
      <c r="B7" t="s">
        <v>159</v>
      </c>
      <c r="J7">
        <v>1</v>
      </c>
      <c r="P7">
        <v>-1</v>
      </c>
      <c r="AB7">
        <v>1</v>
      </c>
    </row>
    <row r="8" spans="1:32" x14ac:dyDescent="0.3">
      <c r="A8" t="s">
        <v>59</v>
      </c>
      <c r="B8" t="s">
        <v>160</v>
      </c>
      <c r="F8">
        <v>1</v>
      </c>
      <c r="G8">
        <v>-1</v>
      </c>
      <c r="Q8">
        <v>1</v>
      </c>
      <c r="R8">
        <v>-1</v>
      </c>
    </row>
    <row r="9" spans="1:32" x14ac:dyDescent="0.3">
      <c r="A9" t="s">
        <v>179</v>
      </c>
      <c r="B9">
        <v>0</v>
      </c>
      <c r="F9">
        <v>-1</v>
      </c>
      <c r="G9" t="s">
        <v>181</v>
      </c>
    </row>
    <row r="10" spans="1:32" x14ac:dyDescent="0.3">
      <c r="A10" t="s">
        <v>60</v>
      </c>
      <c r="B10" t="s">
        <v>161</v>
      </c>
      <c r="G10">
        <v>1</v>
      </c>
      <c r="H10">
        <v>-1</v>
      </c>
      <c r="N10">
        <v>1</v>
      </c>
      <c r="O10">
        <v>-1</v>
      </c>
    </row>
    <row r="11" spans="1:32" x14ac:dyDescent="0.3">
      <c r="A11" t="s">
        <v>180</v>
      </c>
      <c r="B11">
        <v>0</v>
      </c>
      <c r="G11">
        <v>-1</v>
      </c>
      <c r="H11" t="s">
        <v>182</v>
      </c>
    </row>
    <row r="12" spans="1:32" x14ac:dyDescent="0.3">
      <c r="A12" t="s">
        <v>183</v>
      </c>
      <c r="B12">
        <v>0</v>
      </c>
      <c r="O12">
        <v>1</v>
      </c>
      <c r="P12">
        <v>1</v>
      </c>
      <c r="Q12">
        <v>-1</v>
      </c>
    </row>
    <row r="13" spans="1:32" x14ac:dyDescent="0.3">
      <c r="A13" t="s">
        <v>162</v>
      </c>
      <c r="B13" t="s">
        <v>163</v>
      </c>
      <c r="K13">
        <v>-1</v>
      </c>
      <c r="L13">
        <v>1</v>
      </c>
    </row>
    <row r="14" spans="1:32" x14ac:dyDescent="0.3">
      <c r="A14" t="s">
        <v>198</v>
      </c>
      <c r="B14">
        <v>0</v>
      </c>
      <c r="K14" t="s">
        <v>199</v>
      </c>
      <c r="L14">
        <v>-1</v>
      </c>
    </row>
    <row r="15" spans="1:32" x14ac:dyDescent="0.3">
      <c r="A15" t="s">
        <v>64</v>
      </c>
      <c r="B15" t="s">
        <v>164</v>
      </c>
      <c r="K15">
        <v>1</v>
      </c>
      <c r="M15">
        <v>-1</v>
      </c>
      <c r="W15">
        <v>-1</v>
      </c>
    </row>
    <row r="16" spans="1:32" x14ac:dyDescent="0.3">
      <c r="A16" t="s">
        <v>184</v>
      </c>
      <c r="B16">
        <v>0</v>
      </c>
      <c r="K16">
        <v>-1</v>
      </c>
      <c r="M16" t="s">
        <v>185</v>
      </c>
    </row>
    <row r="17" spans="1:32" x14ac:dyDescent="0.3">
      <c r="A17" t="s">
        <v>165</v>
      </c>
      <c r="B17" t="s">
        <v>166</v>
      </c>
      <c r="S17">
        <v>1</v>
      </c>
      <c r="T17">
        <v>-1</v>
      </c>
      <c r="AE17">
        <v>-1</v>
      </c>
    </row>
    <row r="18" spans="1:32" x14ac:dyDescent="0.3">
      <c r="A18" t="s">
        <v>186</v>
      </c>
      <c r="B18">
        <v>0</v>
      </c>
      <c r="S18">
        <v>-1</v>
      </c>
      <c r="T18" t="s">
        <v>188</v>
      </c>
    </row>
    <row r="19" spans="1:32" x14ac:dyDescent="0.3">
      <c r="A19" t="s">
        <v>167</v>
      </c>
      <c r="B19" t="s">
        <v>168</v>
      </c>
      <c r="U19">
        <v>1</v>
      </c>
      <c r="V19">
        <v>-1</v>
      </c>
      <c r="AF19">
        <v>1</v>
      </c>
    </row>
    <row r="20" spans="1:32" x14ac:dyDescent="0.3">
      <c r="A20" t="s">
        <v>189</v>
      </c>
      <c r="B20">
        <v>0</v>
      </c>
      <c r="AE20" t="s">
        <v>191</v>
      </c>
      <c r="AF20">
        <v>-1</v>
      </c>
    </row>
    <row r="21" spans="1:32" x14ac:dyDescent="0.3">
      <c r="A21" t="s">
        <v>169</v>
      </c>
      <c r="B21" t="s">
        <v>170</v>
      </c>
      <c r="T21">
        <v>1</v>
      </c>
      <c r="U21">
        <v>-1</v>
      </c>
    </row>
    <row r="22" spans="1:32" x14ac:dyDescent="0.3">
      <c r="A22" t="s">
        <v>175</v>
      </c>
      <c r="B22">
        <v>0</v>
      </c>
      <c r="T22">
        <v>-1</v>
      </c>
      <c r="U22" t="s">
        <v>200</v>
      </c>
    </row>
    <row r="23" spans="1:32" x14ac:dyDescent="0.3">
      <c r="A23" t="s">
        <v>171</v>
      </c>
      <c r="B23" t="s">
        <v>172</v>
      </c>
      <c r="I23">
        <v>1</v>
      </c>
      <c r="L23">
        <v>-1</v>
      </c>
      <c r="S23">
        <v>-1</v>
      </c>
      <c r="V23">
        <v>1</v>
      </c>
    </row>
    <row r="24" spans="1:32" x14ac:dyDescent="0.3">
      <c r="A24" t="s">
        <v>192</v>
      </c>
      <c r="B24">
        <v>0</v>
      </c>
      <c r="I24">
        <v>-1</v>
      </c>
      <c r="K24" t="s">
        <v>196</v>
      </c>
    </row>
    <row r="25" spans="1:32" x14ac:dyDescent="0.3">
      <c r="A25" t="s">
        <v>173</v>
      </c>
      <c r="B25" t="s">
        <v>174</v>
      </c>
      <c r="W25">
        <v>1</v>
      </c>
      <c r="Y25">
        <v>1</v>
      </c>
      <c r="AC25">
        <v>-1</v>
      </c>
      <c r="AD25">
        <v>-1</v>
      </c>
    </row>
    <row r="32" spans="1:32" x14ac:dyDescent="0.3">
      <c r="A32" t="s">
        <v>197</v>
      </c>
    </row>
    <row r="33" spans="1:1" x14ac:dyDescent="0.3">
      <c r="A33" t="s">
        <v>201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</vt:lpstr>
      <vt:lpstr>Energy_Exergy</vt:lpstr>
      <vt:lpstr>Exergoeconomico</vt:lpstr>
      <vt:lpstr>EXERGO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Iglesias</dc:creator>
  <cp:lastModifiedBy>Adrian Iglesias</cp:lastModifiedBy>
  <dcterms:created xsi:type="dcterms:W3CDTF">2026-01-05T23:58:20Z</dcterms:created>
  <dcterms:modified xsi:type="dcterms:W3CDTF">2026-04-04T19:33:38Z</dcterms:modified>
</cp:coreProperties>
</file>