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ih0\Documents\CODIGO\tes2\"/>
    </mc:Choice>
  </mc:AlternateContent>
  <xr:revisionPtr revIDLastSave="0" documentId="13_ncr:1_{B0E4C203-A930-4E70-B4A7-E9A2E9CD2DF9}" xr6:coauthVersionLast="47" xr6:coauthVersionMax="47" xr10:uidLastSave="{00000000-0000-0000-0000-000000000000}"/>
  <bookViews>
    <workbookView xWindow="-108" yWindow="-108" windowWidth="23256" windowHeight="13176" activeTab="3" xr2:uid="{C4CE93A3-0861-4D2C-B953-37868A8DFB1C}"/>
  </bookViews>
  <sheets>
    <sheet name="T" sheetId="3" r:id="rId1"/>
    <sheet name="rc" sheetId="6" r:id="rId2"/>
    <sheet name="nt" sheetId="7" r:id="rId3"/>
    <sheet name="nc" sheetId="8" r:id="rId4"/>
    <sheet name="Energy_Exergy" sheetId="2" r:id="rId5"/>
    <sheet name="Exergoeconomico" sheetId="5" r:id="rId6"/>
    <sheet name="EXERGO" sheetId="4" r:id="rId7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" i="2" l="1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3" i="2"/>
</calcChain>
</file>

<file path=xl/sharedStrings.xml><?xml version="1.0" encoding="utf-8"?>
<sst xmlns="http://schemas.openxmlformats.org/spreadsheetml/2006/main" count="394" uniqueCount="245">
  <si>
    <t>T [°C]</t>
  </si>
  <si>
    <t>n_ex [%]</t>
  </si>
  <si>
    <t>n_th [%]</t>
  </si>
  <si>
    <t>n_en_PEM [%]</t>
  </si>
  <si>
    <t>n_ex_PEM [%]</t>
  </si>
  <si>
    <t>T_in_PEM [°C]</t>
  </si>
  <si>
    <t>m_H2 [kg/h]</t>
  </si>
  <si>
    <t>m_H2O_in [kg/h]</t>
  </si>
  <si>
    <t>XD Compresor 1 [kW]</t>
  </si>
  <si>
    <t>XD Compresor 2 [kW]</t>
  </si>
  <si>
    <t>XD Turbina 1 [kW]</t>
  </si>
  <si>
    <t>XD Turbina 2 [kW]</t>
  </si>
  <si>
    <t>XD HTR [kW]</t>
  </si>
  <si>
    <t>XD LTR [kW]</t>
  </si>
  <si>
    <t>XD Loss field [kW]</t>
  </si>
  <si>
    <t>XD Cooler [kW]</t>
  </si>
  <si>
    <t>XD Pérdida aire [kW]</t>
  </si>
  <si>
    <t>XD Evaporador 1 [kW]</t>
  </si>
  <si>
    <t>XD Condensador [kW]</t>
  </si>
  <si>
    <t>XD Pérdida agua [kW]</t>
  </si>
  <si>
    <t>Exergía solar aportada [kW]</t>
  </si>
  <si>
    <t>Exergía destruida total [kW]</t>
  </si>
  <si>
    <t>State</t>
  </si>
  <si>
    <t>T [K]</t>
  </si>
  <si>
    <t>P [kPa]</t>
  </si>
  <si>
    <t>h [kJ/kg]</t>
  </si>
  <si>
    <t>s [kJ/kg-K]</t>
  </si>
  <si>
    <t>m [kg/s]</t>
  </si>
  <si>
    <t>16vs</t>
  </si>
  <si>
    <t>6AI</t>
  </si>
  <si>
    <t>6AO1</t>
  </si>
  <si>
    <t>6AO2</t>
  </si>
  <si>
    <t>6AO3</t>
  </si>
  <si>
    <t>6AO</t>
  </si>
  <si>
    <t>6BI</t>
  </si>
  <si>
    <t>15ls</t>
  </si>
  <si>
    <t>15vs</t>
  </si>
  <si>
    <t>C1</t>
  </si>
  <si>
    <t>C2</t>
  </si>
  <si>
    <t>C3</t>
  </si>
  <si>
    <t>Componentes</t>
  </si>
  <si>
    <t>Valor</t>
  </si>
  <si>
    <t>Q_Heater</t>
  </si>
  <si>
    <t>Q_Re-heater</t>
  </si>
  <si>
    <t>Q_HTR</t>
  </si>
  <si>
    <t>Q_LTR</t>
  </si>
  <si>
    <t>Q_Cooler</t>
  </si>
  <si>
    <t>Q_total</t>
  </si>
  <si>
    <t>Q_Evap_etapa1</t>
  </si>
  <si>
    <t>Q_Evap_etapa2</t>
  </si>
  <si>
    <t>Q_Evap_etapa3</t>
  </si>
  <si>
    <t>Q_Evap_total</t>
  </si>
  <si>
    <t>Q_Cond_etapa1</t>
  </si>
  <si>
    <t>Q_Cond_total</t>
  </si>
  <si>
    <t>Q_Cond_etapa2</t>
  </si>
  <si>
    <t>Q_HE</t>
  </si>
  <si>
    <t>Calor y Exergias [ MW]</t>
  </si>
  <si>
    <t>x [kJ/kgK]</t>
  </si>
  <si>
    <t>Areas [m2]</t>
  </si>
  <si>
    <t>HTR</t>
  </si>
  <si>
    <t>LTR</t>
  </si>
  <si>
    <t>Evaporador</t>
  </si>
  <si>
    <t>Condensador</t>
  </si>
  <si>
    <t>Cooler</t>
  </si>
  <si>
    <t>HE</t>
  </si>
  <si>
    <t>Potencias [ kW]</t>
  </si>
  <si>
    <t>Turbina 1</t>
  </si>
  <si>
    <t>Turbina 2</t>
  </si>
  <si>
    <t>Turbina 3</t>
  </si>
  <si>
    <t>Compresor 1</t>
  </si>
  <si>
    <t>Compresor 2</t>
  </si>
  <si>
    <t>Bomba 1</t>
  </si>
  <si>
    <t>W_SBCR</t>
  </si>
  <si>
    <t>W_ORC</t>
  </si>
  <si>
    <t>W_ORC + SBCR</t>
  </si>
  <si>
    <t>Eficiencias [%]</t>
  </si>
  <si>
    <t>Parametros Field solar</t>
  </si>
  <si>
    <t>nt</t>
  </si>
  <si>
    <t>Fi</t>
  </si>
  <si>
    <t>nfield</t>
  </si>
  <si>
    <t>nth_ORC</t>
  </si>
  <si>
    <t>nth_SBCR</t>
  </si>
  <si>
    <t>nth_PEM</t>
  </si>
  <si>
    <t>nth_ciclo</t>
  </si>
  <si>
    <t>n_ciclo sin PEM</t>
  </si>
  <si>
    <t>nex_ORC</t>
  </si>
  <si>
    <t>nex_SBCR</t>
  </si>
  <si>
    <t>nex_PEM</t>
  </si>
  <si>
    <t>nex_ciclo</t>
  </si>
  <si>
    <t>nex_ciclo_2</t>
  </si>
  <si>
    <t>W Neto [MW]</t>
  </si>
  <si>
    <t>n_ciclo sin PEM[%]</t>
  </si>
  <si>
    <t>XD Turbina 3 [kW]</t>
  </si>
  <si>
    <t>XD Loss Solar receiver [kW]</t>
  </si>
  <si>
    <t>XD CSP [kW]</t>
  </si>
  <si>
    <t>XD Bomba 2 [kW]</t>
  </si>
  <si>
    <t>XD HE [kW]</t>
  </si>
  <si>
    <t>W_Rankine [MW]</t>
  </si>
  <si>
    <t>Y.Evap</t>
  </si>
  <si>
    <t>Y.Cond</t>
  </si>
  <si>
    <t>Y.HTR</t>
  </si>
  <si>
    <t>Y.HE</t>
  </si>
  <si>
    <t>Y.T1</t>
  </si>
  <si>
    <t>Y.T2</t>
  </si>
  <si>
    <t>Y.Cooler</t>
  </si>
  <si>
    <t>Y.LTR</t>
  </si>
  <si>
    <t>Y.T3</t>
  </si>
  <si>
    <t>Y.C1</t>
  </si>
  <si>
    <t>Y.C2</t>
  </si>
  <si>
    <t>Y.B2</t>
  </si>
  <si>
    <t xml:space="preserve">Y.wf </t>
  </si>
  <si>
    <t>Y.co2</t>
  </si>
  <si>
    <t>Y.CSP</t>
  </si>
  <si>
    <t>Yom total</t>
  </si>
  <si>
    <t>Yco total</t>
  </si>
  <si>
    <t>Yde total</t>
  </si>
  <si>
    <t>Impacto por componente [kgCO2-eq]</t>
  </si>
  <si>
    <t>Impacto por fases [kgCO2-eq]</t>
  </si>
  <si>
    <t>Fases</t>
  </si>
  <si>
    <t>EWR</t>
  </si>
  <si>
    <t>EEF</t>
  </si>
  <si>
    <t>ESI</t>
  </si>
  <si>
    <t>XD PEM [kW]</t>
  </si>
  <si>
    <t>Y.PEM</t>
  </si>
  <si>
    <t>Y total [kgCO2-eq/kWh]</t>
  </si>
  <si>
    <t>n_ex2 [%]</t>
  </si>
  <si>
    <t>Y PEM [kgCO2-eq/kgH2]</t>
  </si>
  <si>
    <t>Yom PEM</t>
  </si>
  <si>
    <t>Yco PEM</t>
  </si>
  <si>
    <t>Yde PEM</t>
  </si>
  <si>
    <t>Z</t>
  </si>
  <si>
    <t>C4</t>
  </si>
  <si>
    <t xml:space="preserve">C5 </t>
  </si>
  <si>
    <t>C6</t>
  </si>
  <si>
    <t>C6AI</t>
  </si>
  <si>
    <t>C7</t>
  </si>
  <si>
    <t>C8</t>
  </si>
  <si>
    <t>C9</t>
  </si>
  <si>
    <t>C10</t>
  </si>
  <si>
    <t>C11</t>
  </si>
  <si>
    <t>C12</t>
  </si>
  <si>
    <t>C15</t>
  </si>
  <si>
    <t>C16</t>
  </si>
  <si>
    <t>C17</t>
  </si>
  <si>
    <t>C18</t>
  </si>
  <si>
    <t>C20</t>
  </si>
  <si>
    <t>CWT1</t>
  </si>
  <si>
    <t>CNETO</t>
  </si>
  <si>
    <t>CWT2</t>
  </si>
  <si>
    <t>CWC1</t>
  </si>
  <si>
    <t>CWC2</t>
  </si>
  <si>
    <t>CH2</t>
  </si>
  <si>
    <t>CO2</t>
  </si>
  <si>
    <t>CWT3</t>
  </si>
  <si>
    <t>T1</t>
  </si>
  <si>
    <t>"-ZT1"</t>
  </si>
  <si>
    <t>T2</t>
  </si>
  <si>
    <t>"-ZT2"</t>
  </si>
  <si>
    <t>"-ZC1"</t>
  </si>
  <si>
    <t>"-ZC2"</t>
  </si>
  <si>
    <t>"-ZHTR"</t>
  </si>
  <si>
    <t>"-ZLTR"</t>
  </si>
  <si>
    <t>COOLER</t>
  </si>
  <si>
    <t>"-ZCOOLER"</t>
  </si>
  <si>
    <t>"-ZHE"</t>
  </si>
  <si>
    <t>T3</t>
  </si>
  <si>
    <t>"-ZT3"</t>
  </si>
  <si>
    <t>B2</t>
  </si>
  <si>
    <t>"-ZB2"</t>
  </si>
  <si>
    <t>COND</t>
  </si>
  <si>
    <t>"-ZCOND"</t>
  </si>
  <si>
    <t>EVAP</t>
  </si>
  <si>
    <t>"-ZEVAP"</t>
  </si>
  <si>
    <t>PEM</t>
  </si>
  <si>
    <t>"-ZPEM"</t>
  </si>
  <si>
    <t>AUX</t>
  </si>
  <si>
    <t>AUX T1</t>
  </si>
  <si>
    <t>E1/E2</t>
  </si>
  <si>
    <t>E3/E4</t>
  </si>
  <si>
    <t>AUX HTR</t>
  </si>
  <si>
    <t>AUX LTR</t>
  </si>
  <si>
    <t>E4/E5</t>
  </si>
  <si>
    <t>E5/E6</t>
  </si>
  <si>
    <t>AUX LTR 2</t>
  </si>
  <si>
    <t>AUX HE</t>
  </si>
  <si>
    <t>E6AO/E7</t>
  </si>
  <si>
    <t>AUX T3</t>
  </si>
  <si>
    <t>AUX T2</t>
  </si>
  <si>
    <t>E15/E16</t>
  </si>
  <si>
    <t>AUX B2</t>
  </si>
  <si>
    <t>WB2</t>
  </si>
  <si>
    <t>WB2/WT3</t>
  </si>
  <si>
    <t>AUX EVAP</t>
  </si>
  <si>
    <t>C6BI</t>
  </si>
  <si>
    <t>C6AO</t>
  </si>
  <si>
    <t>C6AO3</t>
  </si>
  <si>
    <t>E6AI/E6AO3</t>
  </si>
  <si>
    <t>30 incognitas</t>
  </si>
  <si>
    <t>AUX COOLER</t>
  </si>
  <si>
    <t>E6AO3/E6AO</t>
  </si>
  <si>
    <t>E16/E17</t>
  </si>
  <si>
    <t>24 ecuaciones</t>
  </si>
  <si>
    <t>Cdot (USD/h)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</si>
  <si>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</si>
  <si>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</si>
  <si>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</si>
  <si>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</si>
  <si>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</si>
  <si>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</si>
  <si>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</si>
  <si>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</si>
  <si>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</si>
  <si>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</si>
  <si>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</si>
  <si>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</si>
  <si>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c6BI</t>
  </si>
  <si>
    <t>c6AI</t>
  </si>
  <si>
    <t>c6AO3</t>
  </si>
  <si>
    <t>c6AO</t>
  </si>
  <si>
    <t>c20</t>
  </si>
  <si>
    <t>c15</t>
  </si>
  <si>
    <t>c16</t>
  </si>
  <si>
    <t>c17</t>
  </si>
  <si>
    <t>c18</t>
  </si>
  <si>
    <t>cH2</t>
  </si>
  <si>
    <t>cO2</t>
  </si>
  <si>
    <t>cel</t>
  </si>
  <si>
    <t>Componente</t>
  </si>
  <si>
    <t>c19</t>
  </si>
  <si>
    <t>Evaporador ORC</t>
  </si>
  <si>
    <t>Turbina ORC</t>
  </si>
  <si>
    <t>Bomba ORC</t>
  </si>
  <si>
    <t>Condensador ORC</t>
  </si>
  <si>
    <t>HE-PEM</t>
  </si>
  <si>
    <t>Zdot (USD/h)</t>
  </si>
  <si>
    <t>ED (kW)</t>
  </si>
  <si>
    <t>CD (USD/h)</t>
  </si>
  <si>
    <t>f (%)</t>
  </si>
  <si>
    <t>Fluido</t>
  </si>
  <si>
    <t>Costo Unit. (USD/kWh_ex)</t>
  </si>
  <si>
    <t>LCOEn sistema [USD/kWh]</t>
  </si>
  <si>
    <t>c_H2 [USD/kWh_ex]</t>
  </si>
  <si>
    <t>c_el_bus interno [USD/kWh_ex]</t>
  </si>
  <si>
    <t>rc</t>
  </si>
  <si>
    <t>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</si>
</sst>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2">
    <xf numFmtId="0" fontId="0" fillId="0" borderId="0" xfId="0"/>
    <xf numFmtId="0" fontId="2" fillId="2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2" fontId="0" fillId="0" borderId="0" xfId="0" applyNumberFormat="1"/>
    <xf numFmtId="165" fontId="0" fillId="0" borderId="0" xfId="0" applyNumberFormat="1"/>
    <xf numFmtId="0" fontId="2" fillId="2" borderId="3" xfId="0" applyFont="1" applyFill="1" applyBorder="1" applyAlignment="1">
      <alignment horizontal="center"/>
    </xf>
    <xf numFmtId="0" fontId="2" fillId="0" borderId="0" xfId="0" applyFont="1"/>
    <xf numFmtId="2" fontId="3" fillId="0" borderId="0" xfId="0" applyNumberFormat="1" applyFont="1"/>
    <xf numFmtId="0" fontId="2" fillId="0" borderId="3" xfId="0" applyFont="1" applyBorder="1"/>
    <xf numFmtId="2" fontId="3" fillId="0" borderId="3" xfId="0" applyNumberFormat="1" applyFont="1" applyBorder="1"/>
    <xf numFmtId="0" fontId="1" fillId="0" borderId="0" xfId="0" applyFont="1"/>
    <xf numFmtId="0" fontId="1" fillId="0" borderId="3" xfId="0" applyFont="1" applyBorder="1"/>
    <xf numFmtId="2" fontId="0" fillId="0" borderId="3" xfId="0" applyNumberFormat="1" applyBorder="1"/>
    <xf numFmtId="165" fontId="0" fillId="0" borderId="3" xfId="0" applyNumberFormat="1" applyBorder="1"/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0" fontId="1" fillId="3" borderId="0" xfId="0" applyFont="1" applyFill="1"/>
    <xf numFmtId="0" fontId="0" fillId="3" borderId="0" xfId="0" applyFill="1"/>
    <xf numFmtId="9" fontId="0" fillId="0" borderId="0" xfId="1" applyFont="1" applyAlignment="1">
      <alignment horizontal="center" vertical="center"/>
    </xf>
    <xf numFmtId="2" fontId="2" fillId="0" borderId="0" xfId="0" applyNumberFormat="1" applyFont="1"/>
    <xf numFmtId="2" fontId="0" fillId="3" borderId="0" xfId="1" applyNumberFormat="1" applyFont="1" applyFill="1"/>
    <xf numFmtId="0" fontId="0" fillId="0" borderId="3" xfId="0" applyBorder="1"/>
    <xf numFmtId="0" fontId="0" fillId="0" borderId="1" xfId="0" applyBorder="1"/>
    <xf numFmtId="0" fontId="2" fillId="2" borderId="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748145</xdr:colOff>
      <xdr:row>30</xdr:row>
      <xdr:rowOff>27709</xdr:rowOff>
    </xdr:from>
    <xdr:to>
      <xdr:col>19</xdr:col>
      <xdr:colOff>518172</xdr:colOff>
      <xdr:row>57</xdr:row>
      <xdr:rowOff>102952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9FF9945-73F5-ECD6-453A-B89521C4E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04319" y="5593622"/>
          <a:ext cx="10358514" cy="50845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889D7-F248-4C3B-B68C-D47001A5CC86}">
  <dimension ref="B2:AH39"/>
  <sheetViews>
    <sheetView zoomScale="90" zoomScaleNormal="55" workbookViewId="0">
      <selection activeCell="B29" sqref="B29:H37"/>
    </sheetView>
  </sheetViews>
  <sheetFormatPr baseColWidth="10" defaultRowHeight="14.4" x14ac:dyDescent="0.3"/>
  <cols>
    <col min="1" max="1" width="11.5546875" style="17"/>
    <col min="2" max="2" width="5.5546875" style="17" bestFit="1" customWidth="1"/>
    <col min="3" max="4" width="18.6640625" style="17" bestFit="1" customWidth="1"/>
    <col min="5" max="5" width="16.44140625" style="17" bestFit="1" customWidth="1"/>
    <col min="6" max="6" width="20.5546875" style="17" bestFit="1" customWidth="1"/>
    <col min="7" max="7" width="20.88671875" style="17" bestFit="1" customWidth="1"/>
    <col min="8" max="8" width="12.77734375" style="17" bestFit="1" customWidth="1"/>
    <col min="9" max="9" width="12.6640625" style="17" bestFit="1" customWidth="1"/>
    <col min="10" max="10" width="23.44140625" style="17" bestFit="1" customWidth="1"/>
    <col min="11" max="11" width="15.6640625" style="17" bestFit="1" customWidth="1"/>
    <col min="12" max="12" width="14.88671875" style="17" bestFit="1" customWidth="1"/>
    <col min="13" max="13" width="13.5546875" style="17" bestFit="1" customWidth="1"/>
    <col min="14" max="14" width="17.88671875" style="17" bestFit="1" customWidth="1"/>
    <col min="15" max="16" width="19.109375" style="17" bestFit="1" customWidth="1"/>
    <col min="17" max="17" width="19" style="17" bestFit="1" customWidth="1"/>
    <col min="18" max="19" width="18.6640625" style="17" bestFit="1" customWidth="1"/>
    <col min="20" max="22" width="23.88671875" style="17" bestFit="1" customWidth="1"/>
    <col min="23" max="26" width="12" style="17" bestFit="1" customWidth="1"/>
    <col min="27" max="27" width="2" style="17" bestFit="1" customWidth="1"/>
    <col min="28" max="28" width="12" style="17" bestFit="1" customWidth="1"/>
    <col min="29" max="29" width="12.6640625" style="17" bestFit="1" customWidth="1"/>
    <col min="30" max="31" width="12" style="17" bestFit="1" customWidth="1"/>
    <col min="32" max="16384" width="11.5546875" style="17"/>
  </cols>
  <sheetData>
    <row r="2" spans="2:34" x14ac:dyDescent="0.3">
      <c r="B2" s="18" t="s">
        <v>0</v>
      </c>
      <c r="C2" s="18" t="s">
        <v>90</v>
      </c>
      <c r="D2" s="18" t="s">
        <v>97</v>
      </c>
      <c r="E2" s="18" t="s">
        <v>91</v>
      </c>
      <c r="F2" s="18" t="s">
        <v>1</v>
      </c>
      <c r="G2" s="18" t="s">
        <v>2</v>
      </c>
      <c r="H2" s="18" t="s">
        <v>3</v>
      </c>
      <c r="I2" s="18" t="s">
        <v>4</v>
      </c>
      <c r="J2" s="18" t="s">
        <v>5</v>
      </c>
      <c r="K2" s="18" t="s">
        <v>6</v>
      </c>
      <c r="L2" s="18" t="s">
        <v>7</v>
      </c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</row>
    <row r="3" spans="2:34" x14ac:dyDescent="0.3">
      <c r="B3" s="19">
        <v>500</v>
      </c>
      <c r="C3" s="19">
        <v>79.817560813786429</v>
      </c>
      <c r="D3" s="17">
        <v>5.747836556425975</v>
      </c>
      <c r="E3" s="19">
        <v>44.197489238670407</v>
      </c>
      <c r="F3" s="19">
        <v>21.672347119588974</v>
      </c>
      <c r="G3" s="19">
        <v>41.608757546050079</v>
      </c>
      <c r="H3" s="19">
        <v>18.611139031996345</v>
      </c>
      <c r="I3" s="19">
        <v>18.196209309538482</v>
      </c>
      <c r="J3" s="19">
        <v>73.740628070018715</v>
      </c>
      <c r="K3" s="19">
        <v>32.15627223010955</v>
      </c>
      <c r="L3" s="17">
        <v>287.37040299107491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</row>
    <row r="4" spans="2:34" x14ac:dyDescent="0.3">
      <c r="B4" s="17">
        <v>550</v>
      </c>
      <c r="C4" s="17">
        <v>89.81986854859457</v>
      </c>
      <c r="D4" s="17">
        <v>5.9780007016897558</v>
      </c>
      <c r="E4" s="17">
        <v>46.695266271232683</v>
      </c>
      <c r="F4" s="17">
        <v>22.53176363727647</v>
      </c>
      <c r="G4" s="17">
        <v>44.157918300212081</v>
      </c>
      <c r="H4" s="17">
        <v>18.305365479551135</v>
      </c>
      <c r="I4" s="17">
        <v>17.896265272539772</v>
      </c>
      <c r="J4" s="17">
        <v>73.494893490611787</v>
      </c>
      <c r="K4" s="17">
        <v>32.892461846891408</v>
      </c>
      <c r="L4" s="17">
        <v>293.94949603203861</v>
      </c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</row>
    <row r="5" spans="2:34" x14ac:dyDescent="0.3">
      <c r="B5" s="17">
        <v>600</v>
      </c>
      <c r="C5" s="17">
        <v>99.679334582948613</v>
      </c>
      <c r="D5" s="17">
        <v>6.2111932846844748</v>
      </c>
      <c r="E5" s="17">
        <v>48.86377187044944</v>
      </c>
      <c r="F5" s="17">
        <v>23.090535501160087</v>
      </c>
      <c r="G5" s="17">
        <v>46.368848492904625</v>
      </c>
      <c r="H5" s="17">
        <v>18.010297345414219</v>
      </c>
      <c r="I5" s="17">
        <v>17.606853714622613</v>
      </c>
      <c r="J5" s="17">
        <v>73.249761451685686</v>
      </c>
      <c r="K5" s="17">
        <v>33.62269663607109</v>
      </c>
      <c r="L5" s="17">
        <v>300.47537266795587</v>
      </c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</row>
    <row r="6" spans="2:34" x14ac:dyDescent="0.3">
      <c r="B6" s="17">
        <v>650</v>
      </c>
      <c r="C6" s="17">
        <v>109.4252013288348</v>
      </c>
      <c r="D6" s="17">
        <v>6.4473440004104017</v>
      </c>
      <c r="E6" s="17">
        <v>50.766607886856718</v>
      </c>
      <c r="F6" s="17">
        <v>23.373292335921985</v>
      </c>
      <c r="G6" s="17">
        <v>48.307040618031941</v>
      </c>
      <c r="H6" s="17">
        <v>17.725397978085738</v>
      </c>
      <c r="I6" s="17">
        <v>17.327445115447762</v>
      </c>
      <c r="J6" s="17">
        <v>73.005361875421784</v>
      </c>
      <c r="K6" s="17">
        <v>34.3470096026928</v>
      </c>
      <c r="L6" s="17">
        <v>306.94832785443566</v>
      </c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</row>
    <row r="7" spans="2:34" x14ac:dyDescent="0.3">
      <c r="B7" s="17">
        <v>700</v>
      </c>
      <c r="C7" s="17">
        <v>119.07911442755226</v>
      </c>
      <c r="D7" s="17">
        <v>6.6863221481329127</v>
      </c>
      <c r="E7" s="17">
        <v>52.451199641588154</v>
      </c>
      <c r="F7" s="17">
        <v>23.394499986052235</v>
      </c>
      <c r="G7" s="17">
        <v>50.021324566011295</v>
      </c>
      <c r="H7" s="17">
        <v>17.45023537663441</v>
      </c>
      <c r="I7" s="17">
        <v>17.057612887314626</v>
      </c>
      <c r="J7" s="17">
        <v>72.761883525800215</v>
      </c>
      <c r="K7" s="17">
        <v>35.065255025061845</v>
      </c>
      <c r="L7" s="17">
        <v>313.36705932292415</v>
      </c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</row>
    <row r="8" spans="2:34" x14ac:dyDescent="0.3">
      <c r="B8" s="17">
        <v>750</v>
      </c>
      <c r="C8" s="17">
        <v>128.65749758364126</v>
      </c>
      <c r="D8" s="17">
        <v>6.9279630407328954</v>
      </c>
      <c r="E8" s="17">
        <v>53.9538380140431</v>
      </c>
      <c r="F8" s="17">
        <v>23.161413501793739</v>
      </c>
      <c r="G8" s="17">
        <v>51.549060463654037</v>
      </c>
      <c r="H8" s="17">
        <v>17.184435616492426</v>
      </c>
      <c r="I8" s="17">
        <v>16.796987643527324</v>
      </c>
      <c r="J8" s="17">
        <v>72.519542832587035</v>
      </c>
      <c r="K8" s="17">
        <v>35.77720301027054</v>
      </c>
      <c r="L8" s="17">
        <v>319.72951259344148</v>
      </c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</row>
    <row r="9" spans="2:34" x14ac:dyDescent="0.3">
      <c r="B9" s="17">
        <v>800.00000000000011</v>
      </c>
      <c r="C9" s="17">
        <v>138.17310399416084</v>
      </c>
      <c r="D9" s="17">
        <v>7.1720857262984268</v>
      </c>
      <c r="E9" s="17">
        <v>55.302895315550607</v>
      </c>
      <c r="F9" s="17">
        <v>22.675961009681458</v>
      </c>
      <c r="G9" s="17">
        <v>52.919450623537898</v>
      </c>
      <c r="H9" s="17">
        <v>16.927655814797117</v>
      </c>
      <c r="I9" s="17">
        <v>16.545230654544902</v>
      </c>
      <c r="J9" s="17">
        <v>72.278564361019221</v>
      </c>
      <c r="K9" s="17">
        <v>36.482598340988282</v>
      </c>
      <c r="L9" s="17">
        <v>326.03340686967459</v>
      </c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</row>
    <row r="10" spans="2:34" x14ac:dyDescent="0.3">
      <c r="B10" s="17">
        <v>850.00000000000011</v>
      </c>
      <c r="C10" s="17">
        <v>147.63591018797939</v>
      </c>
      <c r="D10" s="17">
        <v>7.4185008301883553</v>
      </c>
      <c r="E10" s="17">
        <v>56.520932003665223</v>
      </c>
      <c r="F10" s="17">
        <v>21.935982366012645</v>
      </c>
      <c r="G10" s="17">
        <v>54.155710029492219</v>
      </c>
      <c r="H10" s="17">
        <v>16.679572745563277</v>
      </c>
      <c r="I10" s="17">
        <v>16.302022661184491</v>
      </c>
      <c r="J10" s="17">
        <v>72.039169748600216</v>
      </c>
      <c r="K10" s="17">
        <v>37.181184456678366</v>
      </c>
      <c r="L10" s="17">
        <v>332.2764493515034</v>
      </c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</row>
    <row r="11" spans="2:34" x14ac:dyDescent="0.3">
      <c r="B11" s="20">
        <v>900.00000000000011</v>
      </c>
      <c r="C11" s="20">
        <v>157.05390229949612</v>
      </c>
      <c r="D11" s="20">
        <v>7.6670200718972215</v>
      </c>
      <c r="E11" s="20">
        <v>57.626171655998625</v>
      </c>
      <c r="F11" s="20">
        <v>20.936093045670965</v>
      </c>
      <c r="G11" s="20">
        <v>55.276585278728227</v>
      </c>
      <c r="H11" s="20">
        <v>16.439872677110039</v>
      </c>
      <c r="I11" s="20">
        <v>16.067053897149204</v>
      </c>
      <c r="J11" s="20">
        <v>71.80157092940965</v>
      </c>
      <c r="K11" s="20">
        <v>37.872730091857683</v>
      </c>
      <c r="L11" s="20">
        <v>338.45657329267715</v>
      </c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</row>
    <row r="12" spans="2:34" x14ac:dyDescent="0.3"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</row>
    <row r="13" spans="2:34" x14ac:dyDescent="0.3"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</row>
    <row r="15" spans="2:34" x14ac:dyDescent="0.3">
      <c r="B15" s="18" t="s">
        <v>0</v>
      </c>
      <c r="C15" s="18" t="s">
        <v>8</v>
      </c>
      <c r="D15" s="18" t="s">
        <v>9</v>
      </c>
      <c r="E15" s="18" t="s">
        <v>10</v>
      </c>
      <c r="F15" s="18" t="s">
        <v>11</v>
      </c>
      <c r="G15" s="18" t="s">
        <v>92</v>
      </c>
      <c r="H15" s="18" t="s">
        <v>12</v>
      </c>
      <c r="I15" s="18" t="s">
        <v>13</v>
      </c>
      <c r="J15" s="18" t="s">
        <v>93</v>
      </c>
      <c r="K15" s="18" t="s">
        <v>14</v>
      </c>
      <c r="L15" s="18" t="s">
        <v>94</v>
      </c>
      <c r="M15" s="18" t="s">
        <v>15</v>
      </c>
      <c r="N15" s="18" t="s">
        <v>16</v>
      </c>
      <c r="O15" s="18" t="s">
        <v>17</v>
      </c>
      <c r="P15" s="18" t="s">
        <v>18</v>
      </c>
      <c r="Q15" s="18" t="s">
        <v>95</v>
      </c>
      <c r="R15" s="18" t="s">
        <v>19</v>
      </c>
      <c r="S15" s="18" t="s">
        <v>96</v>
      </c>
      <c r="T15" s="18" t="s">
        <v>20</v>
      </c>
      <c r="U15" s="18" t="s">
        <v>122</v>
      </c>
      <c r="V15" s="18" t="s">
        <v>21</v>
      </c>
    </row>
    <row r="16" spans="2:34" x14ac:dyDescent="0.3">
      <c r="B16" s="17">
        <v>500</v>
      </c>
      <c r="C16" s="17">
        <v>2948.5614292537944</v>
      </c>
      <c r="D16" s="17">
        <v>1356.4262301173844</v>
      </c>
      <c r="E16" s="17">
        <v>1511.9146157877444</v>
      </c>
      <c r="F16" s="17">
        <v>2771.3026251072883</v>
      </c>
      <c r="G16" s="17">
        <v>861.11522976340632</v>
      </c>
      <c r="H16" s="17">
        <v>340.1774796640384</v>
      </c>
      <c r="I16" s="17">
        <v>3028.1716564914286</v>
      </c>
      <c r="J16" s="17">
        <v>11794.615416517447</v>
      </c>
      <c r="K16" s="17">
        <v>138639.03314567471</v>
      </c>
      <c r="L16" s="17">
        <v>89329.858804423799</v>
      </c>
      <c r="M16" s="17">
        <v>29.001404664759903</v>
      </c>
      <c r="N16" s="17">
        <v>14.218380631961351</v>
      </c>
      <c r="O16" s="17">
        <v>6620.1750343054518</v>
      </c>
      <c r="P16" s="17">
        <v>3073.3893335012617</v>
      </c>
      <c r="Q16" s="17">
        <v>0.69940860806835647</v>
      </c>
      <c r="R16" s="17">
        <v>635.37030855789897</v>
      </c>
      <c r="S16" s="17">
        <v>3824.7899825655463</v>
      </c>
      <c r="T16" s="17">
        <v>346597.58286418673</v>
      </c>
      <c r="U16" s="17">
        <v>4698.1235087791883</v>
      </c>
      <c r="V16" s="17">
        <v>271476.94399441523</v>
      </c>
    </row>
    <row r="17" spans="2:26" x14ac:dyDescent="0.3">
      <c r="B17" s="17">
        <v>550</v>
      </c>
      <c r="C17" s="17">
        <v>2978.2296698241607</v>
      </c>
      <c r="D17" s="17">
        <v>1318.6805418472477</v>
      </c>
      <c r="E17" s="17">
        <v>1521.902528703846</v>
      </c>
      <c r="F17" s="17">
        <v>2783.7767920301558</v>
      </c>
      <c r="G17" s="17">
        <v>889.83413920749445</v>
      </c>
      <c r="H17" s="17">
        <v>805.40884684346383</v>
      </c>
      <c r="I17" s="17">
        <v>3649.5425807604643</v>
      </c>
      <c r="J17" s="17">
        <v>15916.416778681467</v>
      </c>
      <c r="K17" s="17">
        <v>150741.7278546278</v>
      </c>
      <c r="L17" s="17">
        <v>91657.429244218394</v>
      </c>
      <c r="M17" s="17">
        <v>28.686520857027716</v>
      </c>
      <c r="N17" s="17">
        <v>13.988711900215982</v>
      </c>
      <c r="O17" s="17">
        <v>7003.0101822417919</v>
      </c>
      <c r="P17" s="17">
        <v>3243.4672934535392</v>
      </c>
      <c r="Q17" s="17">
        <v>0.72279964988682055</v>
      </c>
      <c r="R17" s="17">
        <v>665.4563569811354</v>
      </c>
      <c r="S17" s="17">
        <v>3814.9529664057522</v>
      </c>
      <c r="T17" s="17">
        <v>376854.31963656942</v>
      </c>
      <c r="U17" s="17">
        <v>4904.2436020032346</v>
      </c>
      <c r="V17" s="17">
        <v>291937.47741023701</v>
      </c>
    </row>
    <row r="18" spans="2:26" x14ac:dyDescent="0.3">
      <c r="B18" s="17">
        <v>600</v>
      </c>
      <c r="C18" s="17">
        <v>3007.2656005696876</v>
      </c>
      <c r="D18" s="17">
        <v>1281.507723530028</v>
      </c>
      <c r="E18" s="17">
        <v>1528.99071995233</v>
      </c>
      <c r="F18" s="17">
        <v>2792.4530756981671</v>
      </c>
      <c r="G18" s="17">
        <v>918.55320754454283</v>
      </c>
      <c r="H18" s="17">
        <v>1320.1571327557904</v>
      </c>
      <c r="I18" s="17">
        <v>4297.0000918122378</v>
      </c>
      <c r="J18" s="17">
        <v>21237.887994432185</v>
      </c>
      <c r="K18" s="17">
        <v>163810.75957825704</v>
      </c>
      <c r="L18" s="17">
        <v>94289.610392787596</v>
      </c>
      <c r="M18" s="17">
        <v>28.373607129403915</v>
      </c>
      <c r="N18" s="17">
        <v>13.761486434654085</v>
      </c>
      <c r="O18" s="17">
        <v>7397.4316456090419</v>
      </c>
      <c r="P18" s="17">
        <v>3421.9548588824719</v>
      </c>
      <c r="Q18" s="17">
        <v>0.74619661227411505</v>
      </c>
      <c r="R18" s="17">
        <v>696.36622761943977</v>
      </c>
      <c r="S18" s="17">
        <v>3803.5124922584241</v>
      </c>
      <c r="T18" s="17">
        <v>409526.89894564264</v>
      </c>
      <c r="U18" s="17">
        <v>5113.586081630544</v>
      </c>
      <c r="V18" s="17">
        <v>314959.91811351595</v>
      </c>
    </row>
    <row r="19" spans="2:26" x14ac:dyDescent="0.3">
      <c r="B19" s="17">
        <v>650</v>
      </c>
      <c r="C19" s="17">
        <v>3035.689357492201</v>
      </c>
      <c r="D19" s="17">
        <v>1244.8910840925203</v>
      </c>
      <c r="E19" s="17">
        <v>1533.9874970301762</v>
      </c>
      <c r="F19" s="17">
        <v>2798.4221022535266</v>
      </c>
      <c r="G19" s="17">
        <v>947.25497642047981</v>
      </c>
      <c r="H19" s="17">
        <v>1858.4739014316001</v>
      </c>
      <c r="I19" s="17">
        <v>4970.4374229533005</v>
      </c>
      <c r="J19" s="17">
        <v>28086.836717508984</v>
      </c>
      <c r="K19" s="17">
        <v>178143.89492497977</v>
      </c>
      <c r="L19" s="17">
        <v>97339.721439540212</v>
      </c>
      <c r="M19" s="17">
        <v>28.062814357106859</v>
      </c>
      <c r="N19" s="17">
        <v>13.536801086522916</v>
      </c>
      <c r="O19" s="17">
        <v>7803.3521734467595</v>
      </c>
      <c r="P19" s="17">
        <v>3609.2888254336344</v>
      </c>
      <c r="Q19" s="17">
        <v>0.76958539798279801</v>
      </c>
      <c r="R19" s="17">
        <v>728.11563723720315</v>
      </c>
      <c r="S19" s="17">
        <v>3790.5539859561754</v>
      </c>
      <c r="T19" s="17">
        <v>445359.73731244943</v>
      </c>
      <c r="U19" s="17">
        <v>5326.0795830377938</v>
      </c>
      <c r="V19" s="17">
        <v>341259.36882965587</v>
      </c>
    </row>
    <row r="20" spans="2:26" x14ac:dyDescent="0.3">
      <c r="B20" s="17">
        <v>700</v>
      </c>
      <c r="C20" s="17">
        <v>3063.5131841675043</v>
      </c>
      <c r="D20" s="17">
        <v>1208.8239449501671</v>
      </c>
      <c r="E20" s="17">
        <v>1537.4467368248106</v>
      </c>
      <c r="F20" s="17">
        <v>2802.440878422588</v>
      </c>
      <c r="G20" s="17">
        <v>975.91533622180293</v>
      </c>
      <c r="H20" s="17">
        <v>2403.1475528596202</v>
      </c>
      <c r="I20" s="17">
        <v>5669.5500958230568</v>
      </c>
      <c r="J20" s="17">
        <v>36894.255484164853</v>
      </c>
      <c r="K20" s="17">
        <v>194120.04412755879</v>
      </c>
      <c r="L20" s="17">
        <v>100939.4296158151</v>
      </c>
      <c r="M20" s="17">
        <v>27.754366169382649</v>
      </c>
      <c r="N20" s="17">
        <v>13.31480330508251</v>
      </c>
      <c r="O20" s="17">
        <v>8220.5630927133225</v>
      </c>
      <c r="P20" s="17">
        <v>3805.8664245570199</v>
      </c>
      <c r="Q20" s="17">
        <v>0.79294647204591096</v>
      </c>
      <c r="R20" s="17">
        <v>760.71243566216992</v>
      </c>
      <c r="S20" s="17">
        <v>3776.1643515211672</v>
      </c>
      <c r="T20" s="17">
        <v>485300.110318897</v>
      </c>
      <c r="U20" s="17">
        <v>5541.5981837227364</v>
      </c>
      <c r="V20" s="17">
        <v>371761.33356093121</v>
      </c>
    </row>
    <row r="21" spans="2:26" x14ac:dyDescent="0.3">
      <c r="B21" s="17">
        <v>750</v>
      </c>
      <c r="C21" s="17">
        <v>3090.7455465127828</v>
      </c>
      <c r="D21" s="17">
        <v>1173.3045407099946</v>
      </c>
      <c r="E21" s="17">
        <v>1539.7884766306952</v>
      </c>
      <c r="F21" s="17">
        <v>2805.018382007137</v>
      </c>
      <c r="G21" s="17">
        <v>1004.5071167206745</v>
      </c>
      <c r="H21" s="17">
        <v>2942.6310690947575</v>
      </c>
      <c r="I21" s="17">
        <v>6393.8950186234715</v>
      </c>
      <c r="J21" s="17">
        <v>48238.346125543401</v>
      </c>
      <c r="K21" s="17">
        <v>212238.23419605001</v>
      </c>
      <c r="L21" s="17">
        <v>105253.56004225269</v>
      </c>
      <c r="M21" s="17">
        <v>27.448518212909715</v>
      </c>
      <c r="N21" s="17">
        <v>13.095660800528545</v>
      </c>
      <c r="O21" s="17">
        <v>8648.773854705054</v>
      </c>
      <c r="P21" s="17">
        <v>4012.0580558999745</v>
      </c>
      <c r="Q21" s="17">
        <v>0.81625778220241141</v>
      </c>
      <c r="R21" s="17">
        <v>794.15965355949538</v>
      </c>
      <c r="S21" s="17">
        <v>3760.4317142229957</v>
      </c>
      <c r="T21" s="17">
        <v>530595.58549012512</v>
      </c>
      <c r="U21" s="17">
        <v>5759.9847247347689</v>
      </c>
      <c r="V21" s="17">
        <v>407696.79895406356</v>
      </c>
    </row>
    <row r="22" spans="2:26" x14ac:dyDescent="0.3">
      <c r="B22" s="17">
        <v>800.00000000000011</v>
      </c>
      <c r="C22" s="17">
        <v>3117.3934843303709</v>
      </c>
      <c r="D22" s="17">
        <v>1138.33305276341</v>
      </c>
      <c r="E22" s="17">
        <v>1541.2694860114752</v>
      </c>
      <c r="F22" s="17">
        <v>2806.532548235491</v>
      </c>
      <c r="G22" s="17">
        <v>1033.0018156282754</v>
      </c>
      <c r="H22" s="17">
        <v>3469.1288051136653</v>
      </c>
      <c r="I22" s="17">
        <v>7142.9330882120803</v>
      </c>
      <c r="J22" s="17">
        <v>62913.606293226985</v>
      </c>
      <c r="K22" s="17">
        <v>233177.09736516071</v>
      </c>
      <c r="L22" s="17">
        <v>110500.43569183591</v>
      </c>
      <c r="M22" s="17">
        <v>27.145532961161859</v>
      </c>
      <c r="N22" s="17">
        <v>12.879543065694394</v>
      </c>
      <c r="O22" s="17">
        <v>9087.6393871715918</v>
      </c>
      <c r="P22" s="17">
        <v>4228.2153795985059</v>
      </c>
      <c r="Q22" s="17">
        <v>0.8394965871715695</v>
      </c>
      <c r="R22" s="17">
        <v>828.45750521160619</v>
      </c>
      <c r="S22" s="17">
        <v>3743.4447022741656</v>
      </c>
      <c r="T22" s="17">
        <v>582942.74341290176</v>
      </c>
      <c r="U22" s="17">
        <v>5981.0666103429439</v>
      </c>
      <c r="V22" s="17">
        <v>450749.41978773114</v>
      </c>
      <c r="W22" s="21"/>
      <c r="X22" s="21"/>
      <c r="Y22" s="21"/>
      <c r="Z22" s="21"/>
    </row>
    <row r="23" spans="2:26" x14ac:dyDescent="0.3">
      <c r="B23" s="17">
        <v>850.00000000000011</v>
      </c>
      <c r="C23" s="17">
        <v>3143.463834922105</v>
      </c>
      <c r="D23" s="17">
        <v>1103.9100202102625</v>
      </c>
      <c r="E23" s="17">
        <v>1542.1068241741657</v>
      </c>
      <c r="F23" s="17">
        <v>2807.2526540154367</v>
      </c>
      <c r="G23" s="17">
        <v>1061.3726985385092</v>
      </c>
      <c r="H23" s="17">
        <v>3977.3664473134559</v>
      </c>
      <c r="I23" s="17">
        <v>7916.0573066213656</v>
      </c>
      <c r="J23" s="17">
        <v>82043.236087615151</v>
      </c>
      <c r="K23" s="17">
        <v>257890.4091378501</v>
      </c>
      <c r="L23" s="17">
        <v>116982.91458223342</v>
      </c>
      <c r="M23" s="17">
        <v>26.84566568218715</v>
      </c>
      <c r="N23" s="17">
        <v>12.666611299755765</v>
      </c>
      <c r="O23" s="17">
        <v>9536.7775019646579</v>
      </c>
      <c r="P23" s="17">
        <v>4454.6760841453606</v>
      </c>
      <c r="Q23" s="17">
        <v>0.86264049813098698</v>
      </c>
      <c r="R23" s="17">
        <v>863.60461913449035</v>
      </c>
      <c r="S23" s="17">
        <v>3725.2917177400277</v>
      </c>
      <c r="T23" s="17">
        <v>644726.02284462529</v>
      </c>
      <c r="U23" s="17">
        <v>6204.6628666425377</v>
      </c>
      <c r="V23" s="17">
        <v>503293.47730060096</v>
      </c>
      <c r="W23" s="21"/>
      <c r="X23" s="21"/>
      <c r="Y23" s="21"/>
      <c r="Z23" s="21"/>
    </row>
    <row r="24" spans="2:26" x14ac:dyDescent="0.3">
      <c r="B24" s="20">
        <v>900.00000000000011</v>
      </c>
      <c r="C24" s="20">
        <v>3168.9638838626593</v>
      </c>
      <c r="D24" s="20">
        <v>1070.0354556951188</v>
      </c>
      <c r="E24" s="20">
        <v>1542.4567100955248</v>
      </c>
      <c r="F24" s="20">
        <v>2807.373846715212</v>
      </c>
      <c r="G24" s="20">
        <v>1089.5931909999586</v>
      </c>
      <c r="H24" s="20">
        <v>4463.8000501786591</v>
      </c>
      <c r="I24" s="20">
        <v>8712.6139107183735</v>
      </c>
      <c r="J24" s="20">
        <v>107270.29753288905</v>
      </c>
      <c r="K24" s="20">
        <v>287768.98644095648</v>
      </c>
      <c r="L24" s="20">
        <v>125140.03470369184</v>
      </c>
      <c r="M24" s="20">
        <v>26.549156075515601</v>
      </c>
      <c r="N24" s="20">
        <v>12.457012607361445</v>
      </c>
      <c r="O24" s="20">
        <v>9995.7814728890007</v>
      </c>
      <c r="P24" s="20">
        <v>4691.7661365454696</v>
      </c>
      <c r="Q24" s="20">
        <v>0.88566811717443028</v>
      </c>
      <c r="R24" s="20">
        <v>899.59878338048634</v>
      </c>
      <c r="S24" s="20">
        <v>3706.0602091987898</v>
      </c>
      <c r="T24" s="20">
        <v>719422.46610239113</v>
      </c>
      <c r="U24" s="20">
        <v>6430.5927883464301</v>
      </c>
      <c r="V24" s="20">
        <v>568797.84695296281</v>
      </c>
      <c r="W24" s="21"/>
      <c r="X24" s="21"/>
      <c r="Y24" s="21"/>
      <c r="Z24" s="21"/>
    </row>
    <row r="25" spans="2:26" x14ac:dyDescent="0.3">
      <c r="W25" s="21"/>
      <c r="X25" s="21"/>
      <c r="Y25" s="21"/>
      <c r="Z25" s="21"/>
    </row>
    <row r="27" spans="2:26" x14ac:dyDescent="0.3">
      <c r="F27" s="21"/>
      <c r="G27" s="21"/>
      <c r="H27" s="21"/>
    </row>
    <row r="28" spans="2:26" x14ac:dyDescent="0.3">
      <c r="B28" s="18" t="s">
        <v>0</v>
      </c>
      <c r="C28" s="18" t="s">
        <v>119</v>
      </c>
      <c r="D28" s="18" t="s">
        <v>120</v>
      </c>
      <c r="E28" s="18" t="s">
        <v>121</v>
      </c>
      <c r="F28" s="18" t="s">
        <v>124</v>
      </c>
      <c r="G28" s="18" t="s">
        <v>126</v>
      </c>
      <c r="H28" s="18" t="s">
        <v>125</v>
      </c>
    </row>
    <row r="29" spans="2:26" x14ac:dyDescent="0.3">
      <c r="B29" s="17">
        <v>500</v>
      </c>
      <c r="C29" s="17">
        <v>0.78326265795336691</v>
      </c>
      <c r="D29" s="17">
        <v>3.6141108927025245</v>
      </c>
      <c r="E29" s="21">
        <v>0.27669322544008323</v>
      </c>
      <c r="F29" s="21">
        <v>1.2361084819537911E-2</v>
      </c>
      <c r="G29">
        <v>0.72330304895887298</v>
      </c>
      <c r="H29">
        <v>21.673734204663308</v>
      </c>
      <c r="I29" s="25"/>
      <c r="J29" s="25"/>
    </row>
    <row r="30" spans="2:26" x14ac:dyDescent="0.3">
      <c r="B30" s="17">
        <v>550</v>
      </c>
      <c r="C30" s="17">
        <v>0.77466931437000774</v>
      </c>
      <c r="D30" s="17">
        <v>3.4381210758326861</v>
      </c>
      <c r="E30" s="21">
        <v>0.29085653993665939</v>
      </c>
      <c r="F30" s="21">
        <v>1.2174947164356329E-2</v>
      </c>
      <c r="G30">
        <v>0.71310084407837038</v>
      </c>
      <c r="H30">
        <v>22.533068562999215</v>
      </c>
      <c r="I30" s="25"/>
      <c r="J30" s="25"/>
    </row>
    <row r="31" spans="2:26" x14ac:dyDescent="0.3">
      <c r="B31" s="17">
        <v>600</v>
      </c>
      <c r="C31" s="17">
        <v>0.76908237022867998</v>
      </c>
      <c r="D31" s="17">
        <v>3.3307255701802183</v>
      </c>
      <c r="E31" s="21">
        <v>0.30023488243911134</v>
      </c>
      <c r="F31" s="21">
        <v>1.2032304792923087E-2</v>
      </c>
      <c r="G31">
        <v>0.70528261570011441</v>
      </c>
      <c r="H31">
        <v>23.091762977132003</v>
      </c>
      <c r="I31" s="25"/>
      <c r="J31" s="25"/>
    </row>
    <row r="32" spans="2:26" x14ac:dyDescent="0.3">
      <c r="B32" s="17">
        <v>650</v>
      </c>
      <c r="C32" s="17">
        <v>0.76625554633431037</v>
      </c>
      <c r="D32" s="17">
        <v>3.2783380934172728</v>
      </c>
      <c r="E32" s="21">
        <v>0.3050326023444459</v>
      </c>
      <c r="F32" s="21">
        <v>1.1918890450311831E-2</v>
      </c>
      <c r="G32">
        <v>0.69906637558159146</v>
      </c>
      <c r="H32">
        <v>23.374445366568963</v>
      </c>
      <c r="I32" s="25"/>
      <c r="J32" s="25"/>
    </row>
    <row r="33" spans="2:10" x14ac:dyDescent="0.3">
      <c r="B33" s="17">
        <v>700</v>
      </c>
      <c r="C33" s="17">
        <v>0.76604419751036534</v>
      </c>
      <c r="D33" s="17">
        <v>3.274462792395989</v>
      </c>
      <c r="E33" s="21">
        <v>0.30539360603584087</v>
      </c>
      <c r="F33" s="21">
        <v>1.1826368829128379E-2</v>
      </c>
      <c r="G33">
        <v>0.69399526552452651</v>
      </c>
      <c r="H33">
        <v>23.395580248963466</v>
      </c>
      <c r="I33" s="25"/>
      <c r="J33" s="25"/>
    </row>
    <row r="34" spans="2:10" x14ac:dyDescent="0.3">
      <c r="B34" s="17">
        <v>750</v>
      </c>
      <c r="C34" s="17">
        <v>0.76837578393620309</v>
      </c>
      <c r="D34" s="17">
        <v>3.3174822593478424</v>
      </c>
      <c r="E34" s="21">
        <v>0.30143341299934551</v>
      </c>
      <c r="F34" s="21">
        <v>1.1749324463843415E-2</v>
      </c>
      <c r="G34">
        <v>0.68977246386325763</v>
      </c>
      <c r="H34">
        <v>23.162421606379691</v>
      </c>
      <c r="I34" s="25"/>
      <c r="J34" s="25"/>
    </row>
    <row r="35" spans="2:10" x14ac:dyDescent="0.3">
      <c r="B35" s="17">
        <v>800.00000000000011</v>
      </c>
      <c r="C35" s="17">
        <v>0.77323103320365494</v>
      </c>
      <c r="D35" s="17">
        <v>3.4099151646694286</v>
      </c>
      <c r="E35" s="21">
        <v>0.29326242786363987</v>
      </c>
      <c r="F35" s="21">
        <v>1.1684219661096553E-2</v>
      </c>
      <c r="G35">
        <v>0.68620406962470215</v>
      </c>
      <c r="H35">
        <v>22.676896679634506</v>
      </c>
      <c r="I35" s="25"/>
      <c r="J35" s="25"/>
    </row>
    <row r="36" spans="2:10" x14ac:dyDescent="0.3">
      <c r="B36" s="17">
        <v>850.00000000000011</v>
      </c>
      <c r="C36" s="17">
        <v>0.78063155428409226</v>
      </c>
      <c r="D36" s="17">
        <v>3.5586806246416098</v>
      </c>
      <c r="E36" s="17">
        <v>0.28100301923011389</v>
      </c>
      <c r="F36" s="21">
        <v>1.1628483332333845E-2</v>
      </c>
      <c r="G36">
        <v>0.68314916144521809</v>
      </c>
      <c r="H36">
        <v>21.936844571590786</v>
      </c>
    </row>
    <row r="37" spans="2:10" x14ac:dyDescent="0.3">
      <c r="B37" s="20">
        <v>900.00000000000011</v>
      </c>
      <c r="C37" s="20">
        <v>0.79063119898734036</v>
      </c>
      <c r="D37" s="20">
        <v>3.7764027761178784</v>
      </c>
      <c r="E37" s="20">
        <v>0.26480226270461399</v>
      </c>
      <c r="F37" s="20">
        <v>1.1580256134364322E-2</v>
      </c>
      <c r="G37" s="20">
        <v>0.68050582872450849</v>
      </c>
      <c r="H37" s="20">
        <v>20.936880101265952</v>
      </c>
    </row>
    <row r="38" spans="2:10" x14ac:dyDescent="0.3">
      <c r="H38" s="21"/>
    </row>
    <row r="39" spans="2:10" x14ac:dyDescent="0.3">
      <c r="F39" s="21"/>
      <c r="G39" s="21"/>
      <c r="H39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8F8E6-609F-4748-8A52-08E74E409D1F}">
  <dimension ref="B2:V34"/>
  <sheetViews>
    <sheetView workbookViewId="0">
      <selection activeCell="B29" sqref="B29:H34"/>
    </sheetView>
  </sheetViews>
  <sheetFormatPr baseColWidth="10" defaultRowHeight="14.4" x14ac:dyDescent="0.3"/>
  <cols>
    <col min="1" max="9" width="11.5546875" style="17"/>
    <col min="10" max="10" width="15" style="17" customWidth="1"/>
    <col min="11" max="16384" width="11.5546875" style="17"/>
  </cols>
  <sheetData>
    <row r="2" spans="2:22" x14ac:dyDescent="0.3">
      <c r="B2" s="18" t="s">
        <v>243</v>
      </c>
      <c r="C2" s="18" t="s">
        <v>90</v>
      </c>
      <c r="D2" s="18" t="s">
        <v>97</v>
      </c>
      <c r="E2" s="18" t="s">
        <v>91</v>
      </c>
      <c r="F2" s="18" t="s">
        <v>1</v>
      </c>
      <c r="G2" s="18" t="s">
        <v>2</v>
      </c>
      <c r="H2" s="18" t="s">
        <v>3</v>
      </c>
      <c r="I2" s="18" t="s">
        <v>4</v>
      </c>
      <c r="J2" s="18" t="s">
        <v>5</v>
      </c>
      <c r="K2" s="18" t="s">
        <v>6</v>
      </c>
      <c r="L2" s="18" t="s">
        <v>7</v>
      </c>
    </row>
    <row r="3" spans="2:22" x14ac:dyDescent="0.3">
      <c r="B3" s="17">
        <v>2.5</v>
      </c>
      <c r="C3" s="17">
        <v>148.16689369741928</v>
      </c>
      <c r="D3" s="17">
        <v>6.7342358759702696</v>
      </c>
      <c r="E3" s="17">
        <v>56.964645761388169</v>
      </c>
      <c r="F3" s="17">
        <v>20.76638257848656</v>
      </c>
      <c r="G3" s="17">
        <v>54.828330497626311</v>
      </c>
      <c r="H3" s="17">
        <v>17.441013464225993</v>
      </c>
      <c r="I3" s="17">
        <v>17.0490261992745</v>
      </c>
      <c r="J3" s="17">
        <v>73.324154648869751</v>
      </c>
      <c r="K3" s="17">
        <v>35.298899030097473</v>
      </c>
      <c r="L3" s="17">
        <v>315.45506166980897</v>
      </c>
    </row>
    <row r="4" spans="2:22" x14ac:dyDescent="0.3">
      <c r="B4" s="17">
        <v>2.7</v>
      </c>
      <c r="C4" s="17">
        <v>155.66697058060771</v>
      </c>
      <c r="D4" s="17">
        <v>7.5293584802110809</v>
      </c>
      <c r="E4" s="17">
        <v>57.545256030232359</v>
      </c>
      <c r="F4" s="17">
        <v>20.916342885012611</v>
      </c>
      <c r="G4" s="17">
        <v>55.224424495132965</v>
      </c>
      <c r="H4" s="17">
        <v>16.577598279744681</v>
      </c>
      <c r="I4" s="17">
        <v>16.202117630865612</v>
      </c>
      <c r="J4" s="17">
        <v>72.020515667514871</v>
      </c>
      <c r="K4" s="17">
        <v>37.505487197563291</v>
      </c>
      <c r="L4" s="17">
        <v>335.17464005819699</v>
      </c>
    </row>
    <row r="5" spans="2:22" x14ac:dyDescent="0.3">
      <c r="B5" s="17">
        <v>2.9</v>
      </c>
      <c r="C5" s="17">
        <v>162.27893989998952</v>
      </c>
      <c r="D5" s="17">
        <v>8.1624683336946049</v>
      </c>
      <c r="E5" s="17">
        <v>57.867796024364083</v>
      </c>
      <c r="F5" s="17">
        <v>20.991532723655869</v>
      </c>
      <c r="G5" s="17">
        <v>55.422986423214837</v>
      </c>
      <c r="H5" s="17">
        <v>15.969258491659119</v>
      </c>
      <c r="I5" s="17">
        <v>15.605596060142126</v>
      </c>
      <c r="J5" s="17">
        <v>71.029884266576062</v>
      </c>
      <c r="K5" s="17">
        <v>39.161674085045284</v>
      </c>
      <c r="L5" s="17">
        <v>349.9754568282014</v>
      </c>
    </row>
    <row r="6" spans="2:22" x14ac:dyDescent="0.3">
      <c r="B6" s="17">
        <v>3.1</v>
      </c>
      <c r="C6" s="17">
        <v>168.16932560061701</v>
      </c>
      <c r="D6" s="17">
        <v>8.686527999868952</v>
      </c>
      <c r="E6" s="17">
        <v>58.033954827081338</v>
      </c>
      <c r="F6" s="17">
        <v>21.021563313236495</v>
      </c>
      <c r="G6" s="17">
        <v>55.502260178915265</v>
      </c>
      <c r="H6" s="17">
        <v>15.510178237410971</v>
      </c>
      <c r="I6" s="17">
        <v>15.155540354724605</v>
      </c>
      <c r="J6" s="17">
        <v>70.243600700525974</v>
      </c>
      <c r="K6" s="17">
        <v>40.473691505924258</v>
      </c>
      <c r="L6" s="17">
        <v>361.70054026670601</v>
      </c>
    </row>
    <row r="7" spans="2:22" x14ac:dyDescent="0.3">
      <c r="B7" s="17">
        <v>3.3</v>
      </c>
      <c r="C7" s="17">
        <v>173.45261418436411</v>
      </c>
      <c r="D7" s="17">
        <v>9.1364978290003886</v>
      </c>
      <c r="E7" s="17">
        <v>58.09849493424899</v>
      </c>
      <c r="F7" s="17">
        <v>21.021719048004329</v>
      </c>
      <c r="G7" s="17">
        <v>55.502633418048816</v>
      </c>
      <c r="H7" s="17">
        <v>15.144272525361949</v>
      </c>
      <c r="I7" s="17">
        <v>14.796895802750958</v>
      </c>
      <c r="J7" s="17">
        <v>69.596354166304025</v>
      </c>
      <c r="K7" s="17">
        <v>41.562555762188133</v>
      </c>
      <c r="L7" s="17">
        <v>371.43137467083</v>
      </c>
    </row>
    <row r="8" spans="2:22" x14ac:dyDescent="0.3">
      <c r="B8" s="17">
        <v>3.5</v>
      </c>
      <c r="C8" s="17">
        <v>178.21771118453276</v>
      </c>
      <c r="D8" s="17">
        <v>9.5336854968264078</v>
      </c>
      <c r="E8" s="17">
        <v>58.093587340872247</v>
      </c>
      <c r="F8" s="17">
        <v>21.001060822403193</v>
      </c>
      <c r="G8" s="17">
        <v>55.448045028227412</v>
      </c>
      <c r="H8" s="17">
        <v>14.840909759490916</v>
      </c>
      <c r="I8" s="17">
        <v>14.499600926667302</v>
      </c>
      <c r="J8" s="17">
        <v>69.048904190007818</v>
      </c>
      <c r="K8" s="17">
        <v>42.497762640748867</v>
      </c>
      <c r="L8" s="17">
        <v>379.78902183990635</v>
      </c>
    </row>
    <row r="15" spans="2:22" x14ac:dyDescent="0.3">
      <c r="B15" s="18" t="s">
        <v>243</v>
      </c>
      <c r="C15" s="18" t="s">
        <v>8</v>
      </c>
      <c r="D15" s="18" t="s">
        <v>9</v>
      </c>
      <c r="E15" s="18" t="s">
        <v>10</v>
      </c>
      <c r="F15" s="18" t="s">
        <v>11</v>
      </c>
      <c r="G15" s="18" t="s">
        <v>92</v>
      </c>
      <c r="H15" s="18" t="s">
        <v>12</v>
      </c>
      <c r="I15" s="18" t="s">
        <v>13</v>
      </c>
      <c r="J15" s="18" t="s">
        <v>93</v>
      </c>
      <c r="K15" s="18" t="s">
        <v>14</v>
      </c>
      <c r="L15" s="18" t="s">
        <v>94</v>
      </c>
      <c r="M15" s="18" t="s">
        <v>15</v>
      </c>
      <c r="N15" s="18" t="s">
        <v>16</v>
      </c>
      <c r="O15" s="18" t="s">
        <v>17</v>
      </c>
      <c r="P15" s="18" t="s">
        <v>18</v>
      </c>
      <c r="Q15" s="18" t="s">
        <v>95</v>
      </c>
      <c r="R15" s="18" t="s">
        <v>19</v>
      </c>
      <c r="S15" s="18" t="s">
        <v>96</v>
      </c>
      <c r="T15" s="18" t="s">
        <v>20</v>
      </c>
      <c r="U15" s="18" t="s">
        <v>122</v>
      </c>
      <c r="V15" s="18" t="s">
        <v>21</v>
      </c>
    </row>
    <row r="16" spans="2:22" x14ac:dyDescent="0.3">
      <c r="B16" s="17">
        <v>2.5</v>
      </c>
      <c r="C16" s="17">
        <v>2664.8478767473252</v>
      </c>
      <c r="D16" s="17">
        <v>986.37006924873401</v>
      </c>
      <c r="E16" s="17">
        <v>1542.4567100955248</v>
      </c>
      <c r="F16" s="17">
        <v>2398.8101530183258</v>
      </c>
      <c r="G16" s="17">
        <v>997.03770676192551</v>
      </c>
      <c r="H16" s="17">
        <v>6947.6550741795809</v>
      </c>
      <c r="I16" s="17">
        <v>9249.2997745483663</v>
      </c>
      <c r="J16" s="17">
        <v>102375.56157213112</v>
      </c>
      <c r="K16" s="17">
        <v>274638.10828811495</v>
      </c>
      <c r="L16" s="17">
        <v>119161.08401865959</v>
      </c>
      <c r="M16" s="17">
        <v>28.439355661207351</v>
      </c>
      <c r="N16" s="17">
        <v>13.800941887616878</v>
      </c>
      <c r="O16" s="17">
        <v>8175.1551300820374</v>
      </c>
      <c r="P16" s="17">
        <v>3700.0428190667417</v>
      </c>
      <c r="Q16" s="17">
        <v>0.809941181583682</v>
      </c>
      <c r="R16" s="17">
        <v>754.06058026615347</v>
      </c>
      <c r="S16" s="17">
        <v>4793.5371512133352</v>
      </c>
      <c r="T16" s="17">
        <v>686595.27072028746</v>
      </c>
      <c r="U16" s="17">
        <v>5581.9131402913681</v>
      </c>
      <c r="V16" s="17">
        <v>544008.9903031555</v>
      </c>
    </row>
    <row r="17" spans="2:22" x14ac:dyDescent="0.3">
      <c r="B17" s="17">
        <v>2.7</v>
      </c>
      <c r="C17" s="17">
        <v>3087.3746791042909</v>
      </c>
      <c r="D17" s="17">
        <v>1058.1726709377524</v>
      </c>
      <c r="E17" s="17">
        <v>1542.4567100955248</v>
      </c>
      <c r="F17" s="17">
        <v>2741.5191927130818</v>
      </c>
      <c r="G17" s="17">
        <v>1076.5328210015157</v>
      </c>
      <c r="H17" s="17">
        <v>4812.2007797128163</v>
      </c>
      <c r="I17" s="17">
        <v>8798.3787257595359</v>
      </c>
      <c r="J17" s="17">
        <v>106472.50431367061</v>
      </c>
      <c r="K17" s="17">
        <v>285628.78406094934</v>
      </c>
      <c r="L17" s="17">
        <v>124163.1956881715</v>
      </c>
      <c r="M17" s="17">
        <v>26.818318458563386</v>
      </c>
      <c r="N17" s="17">
        <v>12.646116251516156</v>
      </c>
      <c r="O17" s="17">
        <v>9724.4418843231942</v>
      </c>
      <c r="P17" s="17">
        <v>4529.4501957169959</v>
      </c>
      <c r="Q17" s="17">
        <v>0.87497071764366408</v>
      </c>
      <c r="R17" s="17">
        <v>877.17648611728293</v>
      </c>
      <c r="S17" s="17">
        <v>3851.153404008046</v>
      </c>
      <c r="T17" s="17">
        <v>714071.9601523733</v>
      </c>
      <c r="U17" s="17">
        <v>6304.9321542947046</v>
      </c>
      <c r="V17" s="17">
        <v>564708.61317200388</v>
      </c>
    </row>
    <row r="18" spans="2:22" x14ac:dyDescent="0.3">
      <c r="B18" s="17">
        <v>2.9</v>
      </c>
      <c r="C18" s="17">
        <v>3483.3349591886849</v>
      </c>
      <c r="D18" s="17">
        <v>1112.8283922583832</v>
      </c>
      <c r="E18" s="17">
        <v>1542.4567100955248</v>
      </c>
      <c r="F18" s="17">
        <v>3062.6461462244392</v>
      </c>
      <c r="G18" s="17">
        <v>1134.9118833301486</v>
      </c>
      <c r="H18" s="17">
        <v>3261.9581509413547</v>
      </c>
      <c r="I18" s="17">
        <v>8389.0102350076741</v>
      </c>
      <c r="J18" s="17">
        <v>110376.27722141369</v>
      </c>
      <c r="K18" s="17">
        <v>296101.25219792326</v>
      </c>
      <c r="L18" s="17">
        <v>128951.81516126439</v>
      </c>
      <c r="M18" s="17">
        <v>25.606427123562518</v>
      </c>
      <c r="N18" s="17">
        <v>11.801660538249831</v>
      </c>
      <c r="O18" s="17">
        <v>10979.19765967354</v>
      </c>
      <c r="P18" s="17">
        <v>5326.8577223470802</v>
      </c>
      <c r="Q18" s="17">
        <v>0.92282153852808912</v>
      </c>
      <c r="R18" s="17">
        <v>983.24170106960253</v>
      </c>
      <c r="S18" s="17">
        <v>3228.7579140535781</v>
      </c>
      <c r="T18" s="17">
        <v>740253.13049480808</v>
      </c>
      <c r="U18" s="17">
        <v>6883.9186704482818</v>
      </c>
      <c r="V18" s="17">
        <v>584856.79563444015</v>
      </c>
    </row>
    <row r="19" spans="2:22" x14ac:dyDescent="0.3">
      <c r="B19" s="17">
        <v>3.1</v>
      </c>
      <c r="C19" s="17">
        <v>3849.8455050005987</v>
      </c>
      <c r="D19" s="17">
        <v>1159.2727723247745</v>
      </c>
      <c r="E19" s="17">
        <v>1542.4567100955248</v>
      </c>
      <c r="F19" s="17">
        <v>3364.9348540762367</v>
      </c>
      <c r="G19" s="17">
        <v>1180.0986703582332</v>
      </c>
      <c r="H19" s="17">
        <v>2088.2936759883305</v>
      </c>
      <c r="I19" s="17">
        <v>8025.6331977169812</v>
      </c>
      <c r="J19" s="17">
        <v>114055.21230881629</v>
      </c>
      <c r="K19" s="17">
        <v>305970.5584796489</v>
      </c>
      <c r="L19" s="17">
        <v>133484.92502395887</v>
      </c>
      <c r="M19" s="17">
        <v>24.66020890619394</v>
      </c>
      <c r="N19" s="17">
        <v>11.151730495964454</v>
      </c>
      <c r="O19" s="17">
        <v>12030.465799378224</v>
      </c>
      <c r="P19" s="17">
        <v>6091.4841011854433</v>
      </c>
      <c r="Q19" s="17">
        <v>0.9599212273135399</v>
      </c>
      <c r="R19" s="17">
        <v>1077.0012172548297</v>
      </c>
      <c r="S19" s="17">
        <v>2798.8045602279121</v>
      </c>
      <c r="T19" s="17">
        <v>764926.39619912219</v>
      </c>
      <c r="U19" s="17">
        <v>7365.0996693036432</v>
      </c>
      <c r="V19" s="17">
        <v>604120.85840596433</v>
      </c>
    </row>
    <row r="20" spans="2:22" x14ac:dyDescent="0.3">
      <c r="B20" s="17">
        <v>3.3</v>
      </c>
      <c r="C20" s="17">
        <v>4189.7807746840863</v>
      </c>
      <c r="D20" s="17">
        <v>1200.5121499819197</v>
      </c>
      <c r="E20" s="17">
        <v>1542.4567100955248</v>
      </c>
      <c r="F20" s="17">
        <v>3650.6399459165932</v>
      </c>
      <c r="G20" s="17">
        <v>1216.8194568160066</v>
      </c>
      <c r="H20" s="17">
        <v>1173.6306340101291</v>
      </c>
      <c r="I20" s="17">
        <v>7700.3977334383871</v>
      </c>
      <c r="J20" s="17">
        <v>117507.74436055892</v>
      </c>
      <c r="K20" s="17">
        <v>315232.50397653977</v>
      </c>
      <c r="L20" s="17">
        <v>137757.25064697993</v>
      </c>
      <c r="M20" s="17">
        <v>23.887054558579301</v>
      </c>
      <c r="N20" s="17">
        <v>10.630116297173496</v>
      </c>
      <c r="O20" s="17">
        <v>12941.619902553473</v>
      </c>
      <c r="P20" s="17">
        <v>6829.2880756010709</v>
      </c>
      <c r="Q20" s="17">
        <v>0.99011228412205488</v>
      </c>
      <c r="R20" s="17">
        <v>1162.0598783187363</v>
      </c>
      <c r="S20" s="17">
        <v>2487.1201872007637</v>
      </c>
      <c r="T20" s="17">
        <v>788081.2599413495</v>
      </c>
      <c r="U20" s="17">
        <v>7779.4824577979125</v>
      </c>
      <c r="V20" s="17">
        <v>622406.814173633</v>
      </c>
    </row>
    <row r="21" spans="2:22" x14ac:dyDescent="0.3">
      <c r="B21" s="17">
        <v>3.5</v>
      </c>
      <c r="C21" s="17">
        <v>4506.4720702113282</v>
      </c>
      <c r="D21" s="17">
        <v>1237.8443466263898</v>
      </c>
      <c r="E21" s="17">
        <v>1542.4567100955248</v>
      </c>
      <c r="F21" s="17">
        <v>3921.6241291317938</v>
      </c>
      <c r="G21" s="17">
        <v>1247.7923804527093</v>
      </c>
      <c r="H21" s="17">
        <v>447.74442370759789</v>
      </c>
      <c r="I21" s="17">
        <v>7405.7577728634324</v>
      </c>
      <c r="J21" s="17">
        <v>120746.12116199643</v>
      </c>
      <c r="K21" s="17">
        <v>323919.94524683047</v>
      </c>
      <c r="L21" s="17">
        <v>141780.80722790223</v>
      </c>
      <c r="M21" s="17">
        <v>23.242725160827526</v>
      </c>
      <c r="N21" s="17">
        <v>10.198269471027357</v>
      </c>
      <c r="O21" s="17">
        <v>13751.892148659181</v>
      </c>
      <c r="P21" s="17">
        <v>7545.4352560223924</v>
      </c>
      <c r="Q21" s="17">
        <v>1.0156068599449528</v>
      </c>
      <c r="R21" s="17">
        <v>1240.7425352944572</v>
      </c>
      <c r="S21" s="17">
        <v>2251.7511475437595</v>
      </c>
      <c r="T21" s="17">
        <v>809799.86311707599</v>
      </c>
      <c r="U21" s="17">
        <v>8146.1043519154309</v>
      </c>
      <c r="V21" s="17">
        <v>639726.94751074491</v>
      </c>
    </row>
    <row r="28" spans="2:22" x14ac:dyDescent="0.3">
      <c r="B28" s="18" t="s">
        <v>243</v>
      </c>
      <c r="C28" s="18" t="s">
        <v>119</v>
      </c>
      <c r="D28" s="18" t="s">
        <v>120</v>
      </c>
      <c r="E28" s="18" t="s">
        <v>121</v>
      </c>
      <c r="F28" s="18" t="s">
        <v>124</v>
      </c>
      <c r="G28" s="18" t="s">
        <v>126</v>
      </c>
      <c r="H28" s="18" t="s">
        <v>125</v>
      </c>
    </row>
    <row r="29" spans="2:22" x14ac:dyDescent="0.3">
      <c r="B29" s="17">
        <v>2.5</v>
      </c>
      <c r="C29" s="17">
        <v>0.7923284844832259</v>
      </c>
      <c r="D29" s="17">
        <v>3.8154381558204453</v>
      </c>
      <c r="E29" s="17">
        <v>0.26209309629996269</v>
      </c>
      <c r="F29" s="17">
        <v>1.1916757448054462E-2</v>
      </c>
      <c r="G29" s="17">
        <v>0.69894946572786509</v>
      </c>
      <c r="H29" s="17">
        <v>20.767151551677422</v>
      </c>
    </row>
    <row r="30" spans="2:22" x14ac:dyDescent="0.3">
      <c r="B30" s="17">
        <v>2.7</v>
      </c>
      <c r="C30" s="17">
        <v>0.79082871851109049</v>
      </c>
      <c r="D30" s="17">
        <v>3.7809129581526921</v>
      </c>
      <c r="E30" s="17">
        <v>0.26448638492026744</v>
      </c>
      <c r="F30" s="17">
        <v>1.161515776460759E-2</v>
      </c>
      <c r="G30" s="17">
        <v>0.68241878707814208</v>
      </c>
      <c r="H30" s="17">
        <v>20.917128148890953</v>
      </c>
    </row>
    <row r="31" spans="2:22" x14ac:dyDescent="0.3">
      <c r="B31" s="17">
        <v>2.9</v>
      </c>
      <c r="C31" s="17">
        <v>0.79007676096351509</v>
      </c>
      <c r="D31" s="17">
        <v>3.7637878632519213</v>
      </c>
      <c r="E31" s="17">
        <v>0.26568978814230981</v>
      </c>
      <c r="F31" s="17">
        <v>1.1484389958345869E-2</v>
      </c>
      <c r="G31" s="17">
        <v>0.67525140361693714</v>
      </c>
      <c r="H31" s="17">
        <v>20.992323903648501</v>
      </c>
    </row>
    <row r="32" spans="2:22" x14ac:dyDescent="0.3">
      <c r="B32" s="17">
        <v>3.1</v>
      </c>
      <c r="C32" s="17">
        <v>0.78977645615030179</v>
      </c>
      <c r="D32" s="17">
        <v>3.7569825059252802</v>
      </c>
      <c r="E32" s="17">
        <v>0.26617105574030808</v>
      </c>
      <c r="F32" s="17">
        <v>1.1421118297927127E-2</v>
      </c>
      <c r="G32" s="17">
        <v>0.6717834839093858</v>
      </c>
      <c r="H32" s="17">
        <v>21.022354384969834</v>
      </c>
    </row>
    <row r="33" spans="2:8" x14ac:dyDescent="0.3">
      <c r="B33" s="17">
        <v>3.3</v>
      </c>
      <c r="C33" s="17">
        <v>0.78977492019027795</v>
      </c>
      <c r="D33" s="17">
        <v>3.7569473666106021</v>
      </c>
      <c r="E33" s="17">
        <v>0.26617354527970616</v>
      </c>
      <c r="F33" s="17">
        <v>1.1388229853412446E-2</v>
      </c>
      <c r="G33" s="17">
        <v>0.66998086826553627</v>
      </c>
      <c r="H33" s="17">
        <v>21.022507980972204</v>
      </c>
    </row>
    <row r="34" spans="2:8" x14ac:dyDescent="0.3">
      <c r="B34" s="17">
        <v>3.5</v>
      </c>
      <c r="C34" s="17">
        <v>0.78998154562327583</v>
      </c>
      <c r="D34" s="17">
        <v>3.7616268640132273</v>
      </c>
      <c r="E34" s="17">
        <v>0.26584242301298167</v>
      </c>
      <c r="F34" s="17">
        <v>1.1370614920618203E-2</v>
      </c>
      <c r="G34" s="17">
        <v>0.6690153937990837</v>
      </c>
      <c r="H34" s="17">
        <v>21.001845437672419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F8E15-0944-4FE7-87E9-AAA093D2FC4F}">
  <dimension ref="B2:V35"/>
  <sheetViews>
    <sheetView workbookViewId="0">
      <selection activeCell="B29" sqref="B29:H35"/>
    </sheetView>
  </sheetViews>
  <sheetFormatPr baseColWidth="10" defaultRowHeight="14.4" x14ac:dyDescent="0.3"/>
  <cols>
    <col min="1" max="16384" width="11.5546875" style="17"/>
  </cols>
  <sheetData>
    <row r="2" spans="2:22" x14ac:dyDescent="0.3">
      <c r="B2" s="18" t="s">
        <v>77</v>
      </c>
      <c r="C2" s="18" t="s">
        <v>90</v>
      </c>
      <c r="D2" s="18" t="s">
        <v>97</v>
      </c>
      <c r="E2" s="18" t="s">
        <v>91</v>
      </c>
      <c r="F2" s="18" t="s">
        <v>1</v>
      </c>
      <c r="G2" s="18" t="s">
        <v>2</v>
      </c>
      <c r="H2" s="18" t="s">
        <v>3</v>
      </c>
      <c r="I2" s="18" t="s">
        <v>4</v>
      </c>
      <c r="J2" s="18" t="s">
        <v>5</v>
      </c>
      <c r="K2" s="18" t="s">
        <v>6</v>
      </c>
      <c r="L2" s="18" t="s">
        <v>7</v>
      </c>
    </row>
    <row r="3" spans="2:22" x14ac:dyDescent="0.3">
      <c r="B3" s="17">
        <v>0.6</v>
      </c>
      <c r="C3" s="17">
        <v>84.211561976013954</v>
      </c>
      <c r="D3" s="17">
        <v>7.8630926606964033</v>
      </c>
      <c r="E3" s="17">
        <v>41.852285461263897</v>
      </c>
      <c r="F3" s="17">
        <v>14.609756931868748</v>
      </c>
      <c r="G3" s="17">
        <v>38.581243760380737</v>
      </c>
      <c r="H3" s="17">
        <v>16.25771923391715</v>
      </c>
      <c r="I3" s="17">
        <v>15.888509699581155</v>
      </c>
      <c r="J3" s="17">
        <v>71.616789037388912</v>
      </c>
      <c r="K3" s="17">
        <v>38.409525516739883</v>
      </c>
      <c r="L3" s="17">
        <v>343.25374370062394</v>
      </c>
    </row>
    <row r="4" spans="2:22" x14ac:dyDescent="0.3">
      <c r="B4" s="17">
        <v>0.65</v>
      </c>
      <c r="C4" s="17">
        <v>95.281754998553794</v>
      </c>
      <c r="D4" s="17">
        <v>7.8332887957953403</v>
      </c>
      <c r="E4" s="17">
        <v>44.933380647869939</v>
      </c>
      <c r="F4" s="17">
        <v>15.845474212445962</v>
      </c>
      <c r="G4" s="17">
        <v>41.842329326986977</v>
      </c>
      <c r="H4" s="17">
        <v>16.28502694489416</v>
      </c>
      <c r="I4" s="17">
        <v>15.915275564920073</v>
      </c>
      <c r="J4" s="17">
        <v>71.644726145929837</v>
      </c>
      <c r="K4" s="17">
        <v>38.328417839914948</v>
      </c>
      <c r="L4" s="17">
        <v>342.528910125138</v>
      </c>
    </row>
    <row r="5" spans="2:22" x14ac:dyDescent="0.3">
      <c r="B5" s="17">
        <v>0.7</v>
      </c>
      <c r="C5" s="17">
        <v>106.35197332921997</v>
      </c>
      <c r="D5" s="17">
        <v>7.8034867682354951</v>
      </c>
      <c r="E5" s="17">
        <v>47.714779598232667</v>
      </c>
      <c r="F5" s="17">
        <v>16.960993627423512</v>
      </c>
      <c r="G5" s="17">
        <v>44.786209962074224</v>
      </c>
      <c r="H5" s="17">
        <v>16.312467590576237</v>
      </c>
      <c r="I5" s="17">
        <v>15.942171998171231</v>
      </c>
      <c r="J5" s="17">
        <v>71.672715315581797</v>
      </c>
      <c r="K5" s="17">
        <v>38.247141925589851</v>
      </c>
      <c r="L5" s="17">
        <v>341.80257306448817</v>
      </c>
    </row>
    <row r="6" spans="2:22" x14ac:dyDescent="0.3">
      <c r="B6" s="17">
        <v>0.75</v>
      </c>
      <c r="C6" s="17">
        <v>117.42221717459931</v>
      </c>
      <c r="D6" s="17">
        <v>7.7736866894088301</v>
      </c>
      <c r="E6" s="17">
        <v>50.238175942453644</v>
      </c>
      <c r="F6" s="17">
        <v>17.973037039039568</v>
      </c>
      <c r="G6" s="17">
        <v>47.457015044388491</v>
      </c>
      <c r="H6" s="17">
        <v>16.340042169130623</v>
      </c>
      <c r="I6" s="17">
        <v>15.969199981553711</v>
      </c>
      <c r="J6" s="17">
        <v>71.700756546104344</v>
      </c>
      <c r="K6" s="17">
        <v>38.165697124592612</v>
      </c>
      <c r="L6" s="17">
        <v>341.07472671723065</v>
      </c>
    </row>
    <row r="7" spans="2:22" x14ac:dyDescent="0.3">
      <c r="B7" s="17">
        <v>0.8</v>
      </c>
      <c r="C7" s="17">
        <v>128.49248674250657</v>
      </c>
      <c r="D7" s="17">
        <v>7.743888671611427</v>
      </c>
      <c r="E7" s="17">
        <v>52.537872183380294</v>
      </c>
      <c r="F7" s="17">
        <v>18.895361985772201</v>
      </c>
      <c r="G7" s="17">
        <v>49.891051034146052</v>
      </c>
      <c r="H7" s="17">
        <v>16.36775168897524</v>
      </c>
      <c r="I7" s="17">
        <v>15.996360507390436</v>
      </c>
      <c r="J7" s="17">
        <v>71.728849836347308</v>
      </c>
      <c r="K7" s="17">
        <v>38.084082784419742</v>
      </c>
      <c r="L7" s="17">
        <v>340.34536525214861</v>
      </c>
    </row>
    <row r="8" spans="2:22" x14ac:dyDescent="0.3">
      <c r="B8" s="17">
        <v>0.85</v>
      </c>
      <c r="C8" s="17">
        <v>139.56278198500698</v>
      </c>
      <c r="D8" s="17">
        <v>7.7140927853093819</v>
      </c>
      <c r="E8" s="17">
        <v>54.642345188567155</v>
      </c>
      <c r="F8" s="17">
        <v>19.73938966239082</v>
      </c>
      <c r="G8" s="17">
        <v>52.118458725483521</v>
      </c>
      <c r="H8" s="17">
        <v>16.395597206045643</v>
      </c>
      <c r="I8" s="17">
        <v>16.023654614611125</v>
      </c>
      <c r="J8" s="17">
        <v>71.756995183209312</v>
      </c>
      <c r="K8" s="17">
        <v>38.002298124925424</v>
      </c>
      <c r="L8" s="17">
        <v>339.61448169732654</v>
      </c>
    </row>
    <row r="9" spans="2:22" x14ac:dyDescent="0.3">
      <c r="B9" s="17">
        <v>0.9</v>
      </c>
      <c r="C9" s="17">
        <v>150.63310366538568</v>
      </c>
      <c r="D9" s="17">
        <v>7.6842992366371705</v>
      </c>
      <c r="E9" s="17">
        <v>56.575443092400867</v>
      </c>
      <c r="F9" s="17">
        <v>20.51468447118021</v>
      </c>
      <c r="G9" s="17">
        <v>54.164478798760605</v>
      </c>
      <c r="H9" s="17">
        <v>16.423579669894796</v>
      </c>
      <c r="I9" s="17">
        <v>16.051083238013277</v>
      </c>
      <c r="J9" s="17">
        <v>71.785192585913705</v>
      </c>
      <c r="K9" s="17">
        <v>37.920342754213891</v>
      </c>
      <c r="L9" s="17">
        <v>338.88207255051623</v>
      </c>
    </row>
    <row r="15" spans="2:22" x14ac:dyDescent="0.3">
      <c r="B15" s="18" t="s">
        <v>77</v>
      </c>
      <c r="C15" s="18" t="s">
        <v>8</v>
      </c>
      <c r="D15" s="18" t="s">
        <v>9</v>
      </c>
      <c r="E15" s="18" t="s">
        <v>10</v>
      </c>
      <c r="F15" s="18" t="s">
        <v>11</v>
      </c>
      <c r="G15" s="18" t="s">
        <v>92</v>
      </c>
      <c r="H15" s="18" t="s">
        <v>12</v>
      </c>
      <c r="I15" s="18" t="s">
        <v>13</v>
      </c>
      <c r="J15" s="18" t="s">
        <v>93</v>
      </c>
      <c r="K15" s="18" t="s">
        <v>14</v>
      </c>
      <c r="L15" s="18" t="s">
        <v>94</v>
      </c>
      <c r="M15" s="18" t="s">
        <v>15</v>
      </c>
      <c r="N15" s="18" t="s">
        <v>16</v>
      </c>
      <c r="O15" s="18" t="s">
        <v>17</v>
      </c>
      <c r="P15" s="18" t="s">
        <v>18</v>
      </c>
      <c r="Q15" s="18" t="s">
        <v>95</v>
      </c>
      <c r="R15" s="18" t="s">
        <v>19</v>
      </c>
      <c r="S15" s="18" t="s">
        <v>96</v>
      </c>
      <c r="T15" s="18" t="s">
        <v>20</v>
      </c>
      <c r="U15" s="18" t="s">
        <v>122</v>
      </c>
      <c r="V15" s="18" t="s">
        <v>21</v>
      </c>
    </row>
    <row r="16" spans="2:22" x14ac:dyDescent="0.3">
      <c r="B16" s="17">
        <v>0.6</v>
      </c>
      <c r="C16" s="17">
        <v>3188.5506685029641</v>
      </c>
      <c r="D16" s="17">
        <v>1043.876310747346</v>
      </c>
      <c r="E16" s="17">
        <v>8610.2319558728486</v>
      </c>
      <c r="F16" s="17">
        <v>15551.202889850705</v>
      </c>
      <c r="G16" s="17">
        <v>1111.5831277611805</v>
      </c>
      <c r="H16" s="17">
        <v>4828.1167891059304</v>
      </c>
      <c r="I16" s="17">
        <v>9352.6697515099131</v>
      </c>
      <c r="J16" s="17">
        <v>79195.96700526237</v>
      </c>
      <c r="K16" s="17">
        <v>212455.29917849187</v>
      </c>
      <c r="L16" s="17">
        <v>91682.455189337765</v>
      </c>
      <c r="M16" s="17">
        <v>26.319321122467287</v>
      </c>
      <c r="N16" s="17">
        <v>12.295199599041567</v>
      </c>
      <c r="O16" s="17">
        <v>10362.045100531313</v>
      </c>
      <c r="P16" s="17">
        <v>4885.1662034555775</v>
      </c>
      <c r="Q16" s="17">
        <v>0.90361665491794607</v>
      </c>
      <c r="R16" s="17">
        <v>928.39153384896269</v>
      </c>
      <c r="S16" s="17">
        <v>3690.2939294248226</v>
      </c>
      <c r="T16" s="17">
        <v>531138.24794622965</v>
      </c>
      <c r="U16" s="17">
        <v>6609.1306684771125</v>
      </c>
      <c r="V16" s="17">
        <v>453534.49843955727</v>
      </c>
    </row>
    <row r="17" spans="2:22" x14ac:dyDescent="0.3">
      <c r="B17" s="17">
        <v>0.65</v>
      </c>
      <c r="C17" s="17">
        <v>3185.6026611351294</v>
      </c>
      <c r="D17" s="17">
        <v>1047.8213709567915</v>
      </c>
      <c r="E17" s="17">
        <v>7544.4300571883768</v>
      </c>
      <c r="F17" s="17">
        <v>13641.822894306615</v>
      </c>
      <c r="G17" s="17">
        <v>1108.2559641090977</v>
      </c>
      <c r="H17" s="17">
        <v>4773.8608169536465</v>
      </c>
      <c r="I17" s="17">
        <v>9254.7297393386671</v>
      </c>
      <c r="J17" s="17">
        <v>83462.458846271998</v>
      </c>
      <c r="K17" s="17">
        <v>223900.81635317404</v>
      </c>
      <c r="L17" s="17">
        <v>96731.337537772473</v>
      </c>
      <c r="M17" s="17">
        <v>26.354027026530865</v>
      </c>
      <c r="N17" s="17">
        <v>12.319597142596336</v>
      </c>
      <c r="O17" s="17">
        <v>10306.14186292257</v>
      </c>
      <c r="P17" s="17">
        <v>4855.401858262283</v>
      </c>
      <c r="Q17" s="17">
        <v>0.90090077122570711</v>
      </c>
      <c r="R17" s="17">
        <v>923.99223502528923</v>
      </c>
      <c r="S17" s="17">
        <v>3692.7222397455644</v>
      </c>
      <c r="T17" s="17">
        <v>559752.04088293505</v>
      </c>
      <c r="U17" s="17">
        <v>6581.9762457248316</v>
      </c>
      <c r="V17" s="17">
        <v>471050.94520782772</v>
      </c>
    </row>
    <row r="18" spans="2:22" x14ac:dyDescent="0.3">
      <c r="B18" s="17">
        <v>0.7</v>
      </c>
      <c r="C18" s="17">
        <v>3182.644455056779</v>
      </c>
      <c r="D18" s="17">
        <v>1051.7772748712823</v>
      </c>
      <c r="E18" s="17">
        <v>6475.6703599589018</v>
      </c>
      <c r="F18" s="17">
        <v>11722.797219174221</v>
      </c>
      <c r="G18" s="17">
        <v>1104.923475024757</v>
      </c>
      <c r="H18" s="17">
        <v>4719.2041314713424</v>
      </c>
      <c r="I18" s="17">
        <v>9157.0271064838616</v>
      </c>
      <c r="J18" s="17">
        <v>87728.994646362858</v>
      </c>
      <c r="K18" s="17">
        <v>235346.45145481778</v>
      </c>
      <c r="L18" s="17">
        <v>101792.88253725517</v>
      </c>
      <c r="M18" s="17">
        <v>26.388812877572651</v>
      </c>
      <c r="N18" s="17">
        <v>12.344064045004503</v>
      </c>
      <c r="O18" s="17">
        <v>10250.323800790415</v>
      </c>
      <c r="P18" s="17">
        <v>4825.7715495631974</v>
      </c>
      <c r="Q18" s="17">
        <v>0.89818063269454707</v>
      </c>
      <c r="R18" s="17">
        <v>919.60136568056782</v>
      </c>
      <c r="S18" s="17">
        <v>3695.1392369119085</v>
      </c>
      <c r="T18" s="17">
        <v>588366.12863704446</v>
      </c>
      <c r="U18" s="17">
        <v>6554.8291499897132</v>
      </c>
      <c r="V18" s="17">
        <v>488567.6688209679</v>
      </c>
    </row>
    <row r="19" spans="2:22" x14ac:dyDescent="0.3">
      <c r="B19" s="17">
        <v>0.75</v>
      </c>
      <c r="C19" s="17">
        <v>3179.6759917278887</v>
      </c>
      <c r="D19" s="17">
        <v>1055.7440776822809</v>
      </c>
      <c r="E19" s="17">
        <v>5403.9352110712753</v>
      </c>
      <c r="F19" s="17">
        <v>9794.0194828991152</v>
      </c>
      <c r="G19" s="17">
        <v>1101.5856640998954</v>
      </c>
      <c r="H19" s="17">
        <v>4664.1478209078205</v>
      </c>
      <c r="I19" s="17">
        <v>9059.5629791777956</v>
      </c>
      <c r="J19" s="17">
        <v>91995.574525781194</v>
      </c>
      <c r="K19" s="17">
        <v>246792.20480600206</v>
      </c>
      <c r="L19" s="17">
        <v>106867.21213527194</v>
      </c>
      <c r="M19" s="17">
        <v>26.423678762950853</v>
      </c>
      <c r="N19" s="17">
        <v>12.368600444652017</v>
      </c>
      <c r="O19" s="17">
        <v>10194.591485539635</v>
      </c>
      <c r="P19" s="17">
        <v>4796.2748915086886</v>
      </c>
      <c r="Q19" s="17">
        <v>0.89545624248824884</v>
      </c>
      <c r="R19" s="17">
        <v>915.21892164972576</v>
      </c>
      <c r="S19" s="17">
        <v>3697.5447688577583</v>
      </c>
      <c r="T19" s="17">
        <v>616980.51201500499</v>
      </c>
      <c r="U19" s="17">
        <v>6527.6895138187447</v>
      </c>
      <c r="V19" s="17">
        <v>506084.670011446</v>
      </c>
    </row>
    <row r="20" spans="2:22" x14ac:dyDescent="0.3">
      <c r="B20" s="17">
        <v>0.8</v>
      </c>
      <c r="C20" s="17">
        <v>3176.6972121346889</v>
      </c>
      <c r="D20" s="17">
        <v>1059.721835024003</v>
      </c>
      <c r="E20" s="17">
        <v>4329.206793663554</v>
      </c>
      <c r="F20" s="17">
        <v>7855.3814543741792</v>
      </c>
      <c r="G20" s="17">
        <v>1098.2430498994579</v>
      </c>
      <c r="H20" s="17">
        <v>4608.6931025683307</v>
      </c>
      <c r="I20" s="17">
        <v>8962.3384882152895</v>
      </c>
      <c r="J20" s="17">
        <v>96262.198605157217</v>
      </c>
      <c r="K20" s="17">
        <v>258238.07673033568</v>
      </c>
      <c r="L20" s="17">
        <v>111954.45016030467</v>
      </c>
      <c r="M20" s="17">
        <v>26.45862476931628</v>
      </c>
      <c r="N20" s="17">
        <v>12.393206479507223</v>
      </c>
      <c r="O20" s="17">
        <v>10138.94548999074</v>
      </c>
      <c r="P20" s="17">
        <v>4766.910980901248</v>
      </c>
      <c r="Q20" s="17">
        <v>0.89272760389944328</v>
      </c>
      <c r="R20" s="17">
        <v>910.84489976972441</v>
      </c>
      <c r="S20" s="17">
        <v>3699.9386821275457</v>
      </c>
      <c r="T20" s="17">
        <v>645595.19182583911</v>
      </c>
      <c r="U20" s="17">
        <v>6500.5574707715496</v>
      </c>
      <c r="V20" s="17">
        <v>523601.94951409067</v>
      </c>
    </row>
    <row r="21" spans="2:22" x14ac:dyDescent="0.3">
      <c r="B21" s="17">
        <v>0.85</v>
      </c>
      <c r="C21" s="17">
        <v>3173.7080391990989</v>
      </c>
      <c r="D21" s="17">
        <v>1063.7106287563015</v>
      </c>
      <c r="E21" s="17">
        <v>3251.4671250847132</v>
      </c>
      <c r="F21" s="17">
        <v>5906.7693275598585</v>
      </c>
      <c r="G21" s="17">
        <v>1094.8945809626541</v>
      </c>
      <c r="H21" s="17">
        <v>4552.8544882684373</v>
      </c>
      <c r="I21" s="17">
        <v>8865.3546420253879</v>
      </c>
      <c r="J21" s="17">
        <v>100528.87198471166</v>
      </c>
      <c r="K21" s="17">
        <v>269684.0809099414</v>
      </c>
      <c r="L21" s="17">
        <v>117054.72843049669</v>
      </c>
      <c r="M21" s="17">
        <v>26.493650980813314</v>
      </c>
      <c r="N21" s="17">
        <v>12.417882287122572</v>
      </c>
      <c r="O21" s="17">
        <v>10083.386332505124</v>
      </c>
      <c r="P21" s="17">
        <v>4737.680452731639</v>
      </c>
      <c r="Q21" s="17">
        <v>0.88999471541966435</v>
      </c>
      <c r="R21" s="17">
        <v>906.47929000459351</v>
      </c>
      <c r="S21" s="17">
        <v>3702.3208011292131</v>
      </c>
      <c r="T21" s="17">
        <v>674210.20227485348</v>
      </c>
      <c r="U21" s="17">
        <v>6473.4331167445353</v>
      </c>
      <c r="V21" s="17">
        <v>541119.54167810467</v>
      </c>
    </row>
    <row r="22" spans="2:22" x14ac:dyDescent="0.3">
      <c r="B22" s="17">
        <v>0.9</v>
      </c>
      <c r="C22" s="17">
        <v>3170.7084507537484</v>
      </c>
      <c r="D22" s="17">
        <v>1067.7104599818438</v>
      </c>
      <c r="E22" s="17">
        <v>2170.6980548234433</v>
      </c>
      <c r="F22" s="17">
        <v>3948.0789449175445</v>
      </c>
      <c r="G22" s="17">
        <v>1091.540809577046</v>
      </c>
      <c r="H22" s="17">
        <v>4496.6051596002653</v>
      </c>
      <c r="I22" s="17">
        <v>8768.6128540601658</v>
      </c>
      <c r="J22" s="17">
        <v>104795.58407176075</v>
      </c>
      <c r="K22" s="17">
        <v>281130.18892832403</v>
      </c>
      <c r="L22" s="17">
        <v>122168.16161023772</v>
      </c>
      <c r="M22" s="17">
        <v>26.52875748258317</v>
      </c>
      <c r="N22" s="17">
        <v>12.442628004623598</v>
      </c>
      <c r="O22" s="17">
        <v>10027.914709061537</v>
      </c>
      <c r="P22" s="17">
        <v>4708.5824367404157</v>
      </c>
      <c r="Q22" s="17">
        <v>0.88725759121543613</v>
      </c>
      <c r="R22" s="17">
        <v>902.12210022993486</v>
      </c>
      <c r="S22" s="17">
        <v>3704.6910141341332</v>
      </c>
      <c r="T22" s="17">
        <v>702825.47232081008</v>
      </c>
      <c r="U22" s="17">
        <v>6446.3166706272159</v>
      </c>
      <c r="V22" s="17">
        <v>558637.37491790799</v>
      </c>
    </row>
    <row r="28" spans="2:22" x14ac:dyDescent="0.3">
      <c r="B28" s="18" t="s">
        <v>77</v>
      </c>
      <c r="C28" s="18" t="s">
        <v>119</v>
      </c>
      <c r="D28" s="18" t="s">
        <v>120</v>
      </c>
      <c r="E28" s="18" t="s">
        <v>121</v>
      </c>
      <c r="F28" s="18" t="s">
        <v>124</v>
      </c>
      <c r="G28" s="18" t="s">
        <v>126</v>
      </c>
      <c r="H28" s="18" t="s">
        <v>125</v>
      </c>
    </row>
    <row r="29" spans="2:22" x14ac:dyDescent="0.3">
      <c r="B29" s="17">
        <v>0.6</v>
      </c>
      <c r="C29" s="17">
        <v>0.85389161897727106</v>
      </c>
      <c r="D29" s="17">
        <v>5.8446668412028737</v>
      </c>
      <c r="E29" s="17">
        <v>0.17109615093033992</v>
      </c>
      <c r="F29" s="17">
        <v>1.2054140014573155E-2</v>
      </c>
      <c r="G29" s="17">
        <v>0.70647940419875466</v>
      </c>
      <c r="H29" s="17">
        <v>14.610838102272893</v>
      </c>
    </row>
    <row r="30" spans="2:22" x14ac:dyDescent="0.3">
      <c r="B30" s="17">
        <v>0.65</v>
      </c>
      <c r="C30" s="17">
        <v>0.84153502051516771</v>
      </c>
      <c r="D30" s="17">
        <v>5.3108856777172182</v>
      </c>
      <c r="E30" s="17">
        <v>0.18829251102046518</v>
      </c>
      <c r="F30" s="17">
        <v>1.1935407594307215E-2</v>
      </c>
      <c r="G30" s="17">
        <v>0.69997168024397849</v>
      </c>
      <c r="H30" s="17">
        <v>15.846497948483229</v>
      </c>
    </row>
    <row r="31" spans="2:22" x14ac:dyDescent="0.3">
      <c r="B31" s="17">
        <v>0.7</v>
      </c>
      <c r="C31" s="17">
        <v>0.83038034489296564</v>
      </c>
      <c r="D31" s="17">
        <v>4.8958236948474463</v>
      </c>
      <c r="E31" s="17">
        <v>0.20425572126962793</v>
      </c>
      <c r="F31" s="17">
        <v>1.1841379034640441E-2</v>
      </c>
      <c r="G31" s="17">
        <v>0.69481797488864261</v>
      </c>
      <c r="H31" s="17">
        <v>16.961965510703447</v>
      </c>
    </row>
    <row r="32" spans="2:22" x14ac:dyDescent="0.3">
      <c r="B32" s="17">
        <v>0.75</v>
      </c>
      <c r="C32" s="17">
        <v>0.82026038125356215</v>
      </c>
      <c r="D32" s="17">
        <v>4.5638384846804652</v>
      </c>
      <c r="E32" s="17">
        <v>0.21911380154155796</v>
      </c>
      <c r="F32" s="17">
        <v>1.176511508779335E-2</v>
      </c>
      <c r="G32" s="17">
        <v>0.69063794796195355</v>
      </c>
      <c r="H32" s="17">
        <v>17.973961874643784</v>
      </c>
    </row>
    <row r="33" spans="2:8" x14ac:dyDescent="0.3">
      <c r="B33" s="17">
        <v>0.8</v>
      </c>
      <c r="C33" s="17">
        <v>0.81103756060088761</v>
      </c>
      <c r="D33" s="17">
        <v>4.2922573338980294</v>
      </c>
      <c r="E33" s="17">
        <v>0.2329776437452892</v>
      </c>
      <c r="F33" s="17">
        <v>1.1701992017364047E-2</v>
      </c>
      <c r="G33" s="17">
        <v>0.68717817247172341</v>
      </c>
      <c r="H33" s="17">
        <v>18.896243939911241</v>
      </c>
    </row>
    <row r="34" spans="2:8" x14ac:dyDescent="0.3">
      <c r="B34" s="17">
        <v>0.85</v>
      </c>
      <c r="C34" s="17">
        <v>0.8025976762919228</v>
      </c>
      <c r="D34" s="17">
        <v>4.0659700731330144</v>
      </c>
      <c r="E34" s="17">
        <v>0.24594376791107433</v>
      </c>
      <c r="F34" s="17">
        <v>1.1648885335282464E-2</v>
      </c>
      <c r="G34" s="17">
        <v>0.68426739522683189</v>
      </c>
      <c r="H34" s="17">
        <v>19.740232370807721</v>
      </c>
    </row>
    <row r="35" spans="2:8" x14ac:dyDescent="0.3">
      <c r="B35" s="17">
        <v>0.9</v>
      </c>
      <c r="C35" s="17">
        <v>0.79484508874333115</v>
      </c>
      <c r="D35" s="17">
        <v>3.8745177380620159</v>
      </c>
      <c r="E35" s="17">
        <v>0.2580966374669863</v>
      </c>
      <c r="F35" s="17">
        <v>1.1603605702897936E-2</v>
      </c>
      <c r="G35" s="17">
        <v>0.68178561857583586</v>
      </c>
      <c r="H35" s="17">
        <v>20.515491125666873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148A7-EAA7-4F28-BBF6-02D6EA60B99E}">
  <dimension ref="B2:V35"/>
  <sheetViews>
    <sheetView tabSelected="1" workbookViewId="0">
      <selection activeCell="B29" sqref="B29:H35"/>
    </sheetView>
  </sheetViews>
  <sheetFormatPr baseColWidth="10" defaultRowHeight="14.4" x14ac:dyDescent="0.3"/>
  <cols>
    <col min="1" max="16384" width="11.5546875" style="17"/>
  </cols>
  <sheetData>
    <row r="2" spans="2:22" x14ac:dyDescent="0.3">
      <c r="B2" s="18" t="s">
        <v>244</v>
      </c>
      <c r="C2" s="18" t="s">
        <v>90</v>
      </c>
      <c r="D2" s="18" t="s">
        <v>97</v>
      </c>
      <c r="E2" s="18" t="s">
        <v>91</v>
      </c>
      <c r="F2" s="18" t="s">
        <v>1</v>
      </c>
      <c r="G2" s="18" t="s">
        <v>2</v>
      </c>
      <c r="H2" s="18" t="s">
        <v>3</v>
      </c>
      <c r="I2" s="18" t="s">
        <v>4</v>
      </c>
      <c r="J2" s="18" t="s">
        <v>5</v>
      </c>
      <c r="K2" s="18" t="s">
        <v>6</v>
      </c>
      <c r="L2" s="18" t="s">
        <v>7</v>
      </c>
    </row>
    <row r="3" spans="2:22" x14ac:dyDescent="0.3">
      <c r="B3" s="17">
        <v>0.6</v>
      </c>
      <c r="C3" s="17">
        <v>130.86918068201132</v>
      </c>
      <c r="D3" s="17">
        <v>8.8141654444115058</v>
      </c>
      <c r="E3" s="17">
        <v>49.878796554537139</v>
      </c>
      <c r="F3" s="17">
        <v>17.815192680590009</v>
      </c>
      <c r="G3" s="17">
        <v>47.03974603996263</v>
      </c>
      <c r="H3" s="17">
        <v>15.454823679518492</v>
      </c>
      <c r="I3" s="17">
        <v>15.101699640128905</v>
      </c>
      <c r="J3" s="17">
        <v>70.81030342479761</v>
      </c>
      <c r="K3" s="17">
        <v>40.922629894870369</v>
      </c>
      <c r="L3" s="17">
        <v>365.71256021809842</v>
      </c>
    </row>
    <row r="4" spans="2:22" x14ac:dyDescent="0.3">
      <c r="B4" s="17">
        <v>0.65</v>
      </c>
      <c r="C4" s="17">
        <v>137.01888853317391</v>
      </c>
      <c r="D4" s="17">
        <v>8.5397213545798163</v>
      </c>
      <c r="E4" s="17">
        <v>51.771991448655704</v>
      </c>
      <c r="F4" s="17">
        <v>18.577736186967428</v>
      </c>
      <c r="G4" s="17">
        <v>49.052303063086939</v>
      </c>
      <c r="H4" s="17">
        <v>15.67755876168555</v>
      </c>
      <c r="I4" s="17">
        <v>15.319976571220023</v>
      </c>
      <c r="J4" s="17">
        <v>71.083142907569311</v>
      </c>
      <c r="K4" s="17">
        <v>40.221665830556631</v>
      </c>
      <c r="L4" s="17">
        <v>359.44826676385026</v>
      </c>
    </row>
    <row r="5" spans="2:22" x14ac:dyDescent="0.3">
      <c r="B5" s="17">
        <v>0.7</v>
      </c>
      <c r="C5" s="17">
        <v>142.30508065956138</v>
      </c>
      <c r="D5" s="17">
        <v>8.3060695450992057</v>
      </c>
      <c r="E5" s="17">
        <v>53.363862994038215</v>
      </c>
      <c r="F5" s="17">
        <v>19.218978885217201</v>
      </c>
      <c r="G5" s="17">
        <v>50.744709448083036</v>
      </c>
      <c r="H5" s="17">
        <v>15.874683129121278</v>
      </c>
      <c r="I5" s="17">
        <v>15.513171109606835</v>
      </c>
      <c r="J5" s="17">
        <v>71.319466062871072</v>
      </c>
      <c r="K5" s="17">
        <v>39.614661310623802</v>
      </c>
      <c r="L5" s="17">
        <v>354.02365994803995</v>
      </c>
    </row>
    <row r="6" spans="2:22" x14ac:dyDescent="0.3">
      <c r="B6" s="17">
        <v>0.75</v>
      </c>
      <c r="C6" s="17">
        <v>146.89827318466655</v>
      </c>
      <c r="D6" s="17">
        <v>8.1049138972325512</v>
      </c>
      <c r="E6" s="17">
        <v>54.719894700628537</v>
      </c>
      <c r="F6" s="17">
        <v>19.765266768229527</v>
      </c>
      <c r="G6" s="17">
        <v>52.186501352649742</v>
      </c>
      <c r="H6" s="17">
        <v>16.050273489693183</v>
      </c>
      <c r="I6" s="17">
        <v>15.685273418138657</v>
      </c>
      <c r="J6" s="17">
        <v>71.526102579273243</v>
      </c>
      <c r="K6" s="17">
        <v>39.084241310864769</v>
      </c>
      <c r="L6" s="17">
        <v>349.28346469174556</v>
      </c>
    </row>
    <row r="7" spans="2:22" x14ac:dyDescent="0.3">
      <c r="B7" s="17">
        <v>0.8</v>
      </c>
      <c r="C7" s="17">
        <v>150.92661980778519</v>
      </c>
      <c r="D7" s="17">
        <v>7.9300370676916589</v>
      </c>
      <c r="E7" s="17">
        <v>55.888023789679387</v>
      </c>
      <c r="F7" s="17">
        <v>20.235891351627959</v>
      </c>
      <c r="G7" s="17">
        <v>53.42859555121403</v>
      </c>
      <c r="H7" s="17">
        <v>16.207600873594352</v>
      </c>
      <c r="I7" s="17">
        <v>15.839485575111897</v>
      </c>
      <c r="J7" s="17">
        <v>71.708294275735227</v>
      </c>
      <c r="K7" s="17">
        <v>38.617016986964416</v>
      </c>
      <c r="L7" s="17">
        <v>345.10802914108001</v>
      </c>
    </row>
    <row r="8" spans="2:22" x14ac:dyDescent="0.3">
      <c r="B8" s="17">
        <v>0.85</v>
      </c>
      <c r="C8" s="17">
        <v>154.48837379671122</v>
      </c>
      <c r="D8" s="17">
        <v>7.7766933290369442</v>
      </c>
      <c r="E8" s="17">
        <v>56.904129154565318</v>
      </c>
      <c r="F8" s="17">
        <v>20.645294276473038</v>
      </c>
      <c r="G8" s="17">
        <v>54.509108246619817</v>
      </c>
      <c r="H8" s="17">
        <v>16.349317243377286</v>
      </c>
      <c r="I8" s="17">
        <v>15.978403991712717</v>
      </c>
      <c r="J8" s="17">
        <v>71.870125868264836</v>
      </c>
      <c r="K8" s="17">
        <v>38.202512795285671</v>
      </c>
      <c r="L8" s="17">
        <v>341.40373668603996</v>
      </c>
    </row>
    <row r="9" spans="2:22" x14ac:dyDescent="0.3">
      <c r="B9" s="17">
        <v>0.9</v>
      </c>
      <c r="C9" s="17">
        <v>157.6601720704559</v>
      </c>
      <c r="D9" s="17">
        <v>7.6412011923432459</v>
      </c>
      <c r="E9" s="17">
        <v>57.795583221044943</v>
      </c>
      <c r="F9" s="17">
        <v>21.004494873055776</v>
      </c>
      <c r="G9" s="17">
        <v>55.457122957656523</v>
      </c>
      <c r="H9" s="17">
        <v>16.477593217708954</v>
      </c>
      <c r="I9" s="17">
        <v>16.104154074250307</v>
      </c>
      <c r="J9" s="17">
        <v>72.014824656586995</v>
      </c>
      <c r="K9" s="17">
        <v>37.832420978038627</v>
      </c>
      <c r="L9" s="17">
        <v>338.09634353098392</v>
      </c>
    </row>
    <row r="15" spans="2:22" x14ac:dyDescent="0.3">
      <c r="B15" s="18" t="s">
        <v>244</v>
      </c>
      <c r="C15" s="18" t="s">
        <v>8</v>
      </c>
      <c r="D15" s="18" t="s">
        <v>9</v>
      </c>
      <c r="E15" s="18" t="s">
        <v>10</v>
      </c>
      <c r="F15" s="18" t="s">
        <v>11</v>
      </c>
      <c r="G15" s="18" t="s">
        <v>92</v>
      </c>
      <c r="H15" s="18" t="s">
        <v>12</v>
      </c>
      <c r="I15" s="18" t="s">
        <v>13</v>
      </c>
      <c r="J15" s="18" t="s">
        <v>93</v>
      </c>
      <c r="K15" s="18" t="s">
        <v>14</v>
      </c>
      <c r="L15" s="18" t="s">
        <v>94</v>
      </c>
      <c r="M15" s="18" t="s">
        <v>15</v>
      </c>
      <c r="N15" s="18" t="s">
        <v>16</v>
      </c>
      <c r="O15" s="18" t="s">
        <v>17</v>
      </c>
      <c r="P15" s="18" t="s">
        <v>18</v>
      </c>
      <c r="Q15" s="18" t="s">
        <v>95</v>
      </c>
      <c r="R15" s="18" t="s">
        <v>19</v>
      </c>
      <c r="S15" s="18" t="s">
        <v>96</v>
      </c>
      <c r="T15" s="18" t="s">
        <v>20</v>
      </c>
      <c r="U15" s="18" t="s">
        <v>122</v>
      </c>
      <c r="V15" s="18" t="s">
        <v>21</v>
      </c>
    </row>
    <row r="16" spans="2:22" x14ac:dyDescent="0.3">
      <c r="B16" s="17">
        <v>0.6</v>
      </c>
      <c r="C16" s="17">
        <v>17223.530390651405</v>
      </c>
      <c r="D16" s="17">
        <v>5103.7799140514026</v>
      </c>
      <c r="E16" s="17">
        <v>1542.4567100955248</v>
      </c>
      <c r="F16" s="17">
        <v>2807.373846715212</v>
      </c>
      <c r="G16" s="17">
        <v>1210.8751990759354</v>
      </c>
      <c r="H16" s="17">
        <v>1104.7199639895116</v>
      </c>
      <c r="I16" s="17">
        <v>9283.7734881358447</v>
      </c>
      <c r="J16" s="17">
        <v>103269.46782608512</v>
      </c>
      <c r="K16" s="17">
        <v>277036.14858994889</v>
      </c>
      <c r="L16" s="17">
        <v>120250.45822234853</v>
      </c>
      <c r="M16" s="17">
        <v>0.2517453525309708</v>
      </c>
      <c r="N16" s="17">
        <v>0.11458911717440511</v>
      </c>
      <c r="O16" s="17">
        <v>12258.929861073375</v>
      </c>
      <c r="P16" s="17">
        <v>5968.311954203029</v>
      </c>
      <c r="Q16" s="17">
        <v>0.98477814386777573</v>
      </c>
      <c r="R16" s="17">
        <v>1077.6192924360903</v>
      </c>
      <c r="S16" s="17">
        <v>3581.036050913548</v>
      </c>
      <c r="T16" s="17">
        <v>692590.37147487211</v>
      </c>
      <c r="U16" s="17">
        <v>7478.1116504062575</v>
      </c>
      <c r="V16" s="17">
        <v>569197.94407274295</v>
      </c>
    </row>
    <row r="17" spans="2:22" x14ac:dyDescent="0.3">
      <c r="B17" s="17">
        <v>0.65</v>
      </c>
      <c r="C17" s="17">
        <v>13889.07170678319</v>
      </c>
      <c r="D17" s="17">
        <v>4246.1216538053413</v>
      </c>
      <c r="E17" s="17">
        <v>1542.4567100955248</v>
      </c>
      <c r="F17" s="17">
        <v>2807.373846715212</v>
      </c>
      <c r="G17" s="17">
        <v>1182.6470103258118</v>
      </c>
      <c r="H17" s="17">
        <v>1791.6358617457445</v>
      </c>
      <c r="I17" s="17">
        <v>9173.6007419972721</v>
      </c>
      <c r="J17" s="17">
        <v>104168.42351101463</v>
      </c>
      <c r="K17" s="17">
        <v>279447.73476298235</v>
      </c>
      <c r="L17" s="17">
        <v>121347.12487858563</v>
      </c>
      <c r="M17" s="17">
        <v>0.25506000082520519</v>
      </c>
      <c r="N17" s="17">
        <v>0.11686810867505278</v>
      </c>
      <c r="O17" s="17">
        <v>11706.898845704814</v>
      </c>
      <c r="P17" s="17">
        <v>5640.9449889946964</v>
      </c>
      <c r="Q17" s="17">
        <v>0.96169692888734515</v>
      </c>
      <c r="R17" s="17">
        <v>1033.7214813554442</v>
      </c>
      <c r="S17" s="17">
        <v>3620.0084021298612</v>
      </c>
      <c r="T17" s="17">
        <v>698619.33690745581</v>
      </c>
      <c r="U17" s="17">
        <v>7226.5680808477873</v>
      </c>
      <c r="V17" s="17">
        <v>568825.66610812175</v>
      </c>
    </row>
    <row r="18" spans="2:22" x14ac:dyDescent="0.3">
      <c r="B18" s="17">
        <v>0.7</v>
      </c>
      <c r="C18" s="17">
        <v>11038.113043195457</v>
      </c>
      <c r="D18" s="17">
        <v>3465.8458866495639</v>
      </c>
      <c r="E18" s="17">
        <v>1542.4567100955248</v>
      </c>
      <c r="F18" s="17">
        <v>2807.373846715212</v>
      </c>
      <c r="G18" s="17">
        <v>1158.2224463140453</v>
      </c>
      <c r="H18" s="17">
        <v>2430.7471421233495</v>
      </c>
      <c r="I18" s="17">
        <v>9066.7993777505453</v>
      </c>
      <c r="J18" s="17">
        <v>104959.96261811555</v>
      </c>
      <c r="K18" s="17">
        <v>281571.15953029942</v>
      </c>
      <c r="L18" s="17">
        <v>122313.69926104051</v>
      </c>
      <c r="M18" s="17">
        <v>0.25794191262521177</v>
      </c>
      <c r="N18" s="17">
        <v>0.11885920781892506</v>
      </c>
      <c r="O18" s="17">
        <v>11242.094633094242</v>
      </c>
      <c r="P18" s="17">
        <v>5373.4938759398001</v>
      </c>
      <c r="Q18" s="17">
        <v>0.94173270359819072</v>
      </c>
      <c r="R18" s="17">
        <v>997.01597907764994</v>
      </c>
      <c r="S18" s="17">
        <v>3653.1722462794478</v>
      </c>
      <c r="T18" s="17">
        <v>703927.89882574859</v>
      </c>
      <c r="U18" s="17">
        <v>7012.7467667503342</v>
      </c>
      <c r="V18" s="17">
        <v>568634.22189726471</v>
      </c>
    </row>
    <row r="19" spans="2:22" x14ac:dyDescent="0.3">
      <c r="B19" s="17">
        <v>0.75</v>
      </c>
      <c r="C19" s="17">
        <v>8573.5098078967039</v>
      </c>
      <c r="D19" s="17">
        <v>2754.6230259247086</v>
      </c>
      <c r="E19" s="17">
        <v>1542.4567100955248</v>
      </c>
      <c r="F19" s="17">
        <v>2807.373846715212</v>
      </c>
      <c r="G19" s="17">
        <v>1136.9071821083016</v>
      </c>
      <c r="H19" s="17">
        <v>3023.7047411040985</v>
      </c>
      <c r="I19" s="17">
        <v>8965.1619450556045</v>
      </c>
      <c r="J19" s="17">
        <v>105662.76220008062</v>
      </c>
      <c r="K19" s="17">
        <v>283456.52694350353</v>
      </c>
      <c r="L19" s="17">
        <v>123172.65806338149</v>
      </c>
      <c r="M19" s="17">
        <v>0.2604700610476795</v>
      </c>
      <c r="N19" s="17">
        <v>0.12061319440397289</v>
      </c>
      <c r="O19" s="17">
        <v>10845.814830466486</v>
      </c>
      <c r="P19" s="17">
        <v>5151.2288603062889</v>
      </c>
      <c r="Q19" s="17">
        <v>0.92431500080570184</v>
      </c>
      <c r="R19" s="17">
        <v>965.89147864161771</v>
      </c>
      <c r="S19" s="17">
        <v>3681.7827674106129</v>
      </c>
      <c r="T19" s="17">
        <v>708641.31735875877</v>
      </c>
      <c r="U19" s="17">
        <v>6828.9193675282904</v>
      </c>
      <c r="V19" s="17">
        <v>568570.62716847542</v>
      </c>
    </row>
    <row r="20" spans="2:22" x14ac:dyDescent="0.3">
      <c r="B20" s="17">
        <v>0.8</v>
      </c>
      <c r="C20" s="17">
        <v>6422.209445343934</v>
      </c>
      <c r="D20" s="17">
        <v>2104.9796883973145</v>
      </c>
      <c r="E20" s="17">
        <v>1542.4567100955248</v>
      </c>
      <c r="F20" s="17">
        <v>2807.373846715212</v>
      </c>
      <c r="G20" s="17">
        <v>1118.1613002894633</v>
      </c>
      <c r="H20" s="17">
        <v>3573.3140356715885</v>
      </c>
      <c r="I20" s="17">
        <v>8869.4633253153861</v>
      </c>
      <c r="J20" s="17">
        <v>106291.27448128449</v>
      </c>
      <c r="K20" s="17">
        <v>285142.60730579839</v>
      </c>
      <c r="L20" s="17">
        <v>123941.42024869514</v>
      </c>
      <c r="M20" s="17">
        <v>0.26270550768952727</v>
      </c>
      <c r="N20" s="17">
        <v>0.12216974083650543</v>
      </c>
      <c r="O20" s="17">
        <v>10504.258527002828</v>
      </c>
      <c r="P20" s="17">
        <v>4963.8129009404247</v>
      </c>
      <c r="Q20" s="17">
        <v>0.90900061105456553</v>
      </c>
      <c r="R20" s="17">
        <v>939.18089232948137</v>
      </c>
      <c r="S20" s="17">
        <v>3706.7615776450862</v>
      </c>
      <c r="T20" s="17">
        <v>712856.518264496</v>
      </c>
      <c r="U20" s="17">
        <v>6669.3060430568084</v>
      </c>
      <c r="V20" s="17">
        <v>568597.87420444074</v>
      </c>
    </row>
    <row r="21" spans="2:22" x14ac:dyDescent="0.3">
      <c r="B21" s="17">
        <v>0.85</v>
      </c>
      <c r="C21" s="17">
        <v>4528.3030015852082</v>
      </c>
      <c r="D21" s="17">
        <v>1510.2579346330949</v>
      </c>
      <c r="E21" s="17">
        <v>1542.4567100955248</v>
      </c>
      <c r="F21" s="17">
        <v>2807.373846715212</v>
      </c>
      <c r="G21" s="17">
        <v>1101.5597781977049</v>
      </c>
      <c r="H21" s="17">
        <v>4082.8254225992714</v>
      </c>
      <c r="I21" s="17">
        <v>8779.9064915337567</v>
      </c>
      <c r="J21" s="17">
        <v>106856.89298365323</v>
      </c>
      <c r="K21" s="17">
        <v>286659.96548306081</v>
      </c>
      <c r="L21" s="17">
        <v>124633.73733801451</v>
      </c>
      <c r="M21" s="17">
        <v>0.26469613987200663</v>
      </c>
      <c r="N21" s="17">
        <v>0.12356023428108251</v>
      </c>
      <c r="O21" s="17">
        <v>10207.040222168094</v>
      </c>
      <c r="P21" s="17">
        <v>4803.7955825387162</v>
      </c>
      <c r="Q21" s="17">
        <v>0.89544089482254818</v>
      </c>
      <c r="R21" s="17">
        <v>916.01886380869257</v>
      </c>
      <c r="S21" s="17">
        <v>3728.7978136515972</v>
      </c>
      <c r="T21" s="17">
        <v>716649.91370765201</v>
      </c>
      <c r="U21" s="17">
        <v>6529.5033613763208</v>
      </c>
      <c r="V21" s="17">
        <v>568689.71853090066</v>
      </c>
    </row>
    <row r="22" spans="2:22" x14ac:dyDescent="0.3">
      <c r="B22" s="17">
        <v>0.9</v>
      </c>
      <c r="C22" s="17">
        <v>2848.3263976414578</v>
      </c>
      <c r="D22" s="17">
        <v>964.55767849983272</v>
      </c>
      <c r="E22" s="17">
        <v>1542.4567100955248</v>
      </c>
      <c r="F22" s="17">
        <v>2807.373846715212</v>
      </c>
      <c r="G22" s="17">
        <v>1086.7646432466843</v>
      </c>
      <c r="H22" s="17">
        <v>4555.56180201401</v>
      </c>
      <c r="I22" s="17">
        <v>8696.3788936835081</v>
      </c>
      <c r="J22" s="17">
        <v>107368.74274104465</v>
      </c>
      <c r="K22" s="17">
        <v>288033.08077482571</v>
      </c>
      <c r="L22" s="17">
        <v>125260.63692308396</v>
      </c>
      <c r="M22" s="17">
        <v>0.2664800015417999</v>
      </c>
      <c r="N22" s="17">
        <v>0.12480980050803024</v>
      </c>
      <c r="O22" s="17">
        <v>9946.2077370741645</v>
      </c>
      <c r="P22" s="17">
        <v>4665.6811406944789</v>
      </c>
      <c r="Q22" s="17">
        <v>0.88335841987004737</v>
      </c>
      <c r="R22" s="17">
        <v>895.75064737944081</v>
      </c>
      <c r="S22" s="17">
        <v>3748.4156267159824</v>
      </c>
      <c r="T22" s="17">
        <v>720082.70193706418</v>
      </c>
      <c r="U22" s="17">
        <v>6406.1012876481363</v>
      </c>
      <c r="V22" s="17">
        <v>568827.31149858458</v>
      </c>
    </row>
    <row r="28" spans="2:22" x14ac:dyDescent="0.3">
      <c r="B28" s="18" t="s">
        <v>244</v>
      </c>
      <c r="C28" s="18" t="s">
        <v>119</v>
      </c>
      <c r="D28" s="18" t="s">
        <v>120</v>
      </c>
      <c r="E28" s="18" t="s">
        <v>121</v>
      </c>
      <c r="F28" s="18" t="s">
        <v>124</v>
      </c>
      <c r="G28" s="18" t="s">
        <v>126</v>
      </c>
      <c r="H28" s="18" t="s">
        <v>125</v>
      </c>
    </row>
    <row r="29" spans="2:22" x14ac:dyDescent="0.3">
      <c r="B29" s="17">
        <v>0.6</v>
      </c>
      <c r="C29" s="17">
        <v>0.82183923934812309</v>
      </c>
      <c r="D29" s="17">
        <v>4.6131369673230234</v>
      </c>
      <c r="E29" s="17">
        <v>0.21677223266585433</v>
      </c>
      <c r="F29" s="17">
        <v>1.1717456361388412E-2</v>
      </c>
      <c r="G29" s="17">
        <v>0.68802577316769886</v>
      </c>
      <c r="H29" s="17">
        <v>17.81607606518768</v>
      </c>
    </row>
    <row r="30" spans="2:22" x14ac:dyDescent="0.3">
      <c r="B30" s="17">
        <v>0.65</v>
      </c>
      <c r="C30" s="17">
        <v>0.81421403052786179</v>
      </c>
      <c r="D30" s="17">
        <v>4.3827408373849428</v>
      </c>
      <c r="E30" s="17">
        <v>0.22816772360116819</v>
      </c>
      <c r="F30" s="17">
        <v>1.1681244010233967E-2</v>
      </c>
      <c r="G30" s="17">
        <v>0.6860409742009238</v>
      </c>
      <c r="H30" s="17">
        <v>18.578596947213832</v>
      </c>
    </row>
    <row r="31" spans="2:22" x14ac:dyDescent="0.3">
      <c r="B31" s="17">
        <v>0.7</v>
      </c>
      <c r="C31" s="17">
        <v>0.80780179737985547</v>
      </c>
      <c r="D31" s="17">
        <v>4.2031462868258735</v>
      </c>
      <c r="E31" s="17">
        <v>0.23791701067706084</v>
      </c>
      <c r="F31" s="17">
        <v>1.1653403544510034E-2</v>
      </c>
      <c r="G31" s="17">
        <v>0.68451503827459503</v>
      </c>
      <c r="H31" s="17">
        <v>19.219820262014466</v>
      </c>
    </row>
    <row r="32" spans="2:22" x14ac:dyDescent="0.3">
      <c r="B32" s="17">
        <v>0.75</v>
      </c>
      <c r="C32" s="17">
        <v>0.8023390864191301</v>
      </c>
      <c r="D32" s="17">
        <v>4.0593385145137582</v>
      </c>
      <c r="E32" s="17">
        <v>0.24634555517471632</v>
      </c>
      <c r="F32" s="17">
        <v>1.1631437078375764E-2</v>
      </c>
      <c r="G32" s="17">
        <v>0.6833110562657756</v>
      </c>
      <c r="H32" s="17">
        <v>19.766091358086978</v>
      </c>
    </row>
    <row r="33" spans="2:8" x14ac:dyDescent="0.3">
      <c r="B33" s="17">
        <v>0.8</v>
      </c>
      <c r="C33" s="17">
        <v>0.7976329873348651</v>
      </c>
      <c r="D33" s="17">
        <v>3.9416745893464</v>
      </c>
      <c r="E33" s="17">
        <v>0.25369927865248204</v>
      </c>
      <c r="F33" s="17">
        <v>1.1613742892744807E-2</v>
      </c>
      <c r="G33" s="17">
        <v>0.68234123795134294</v>
      </c>
      <c r="H33" s="17">
        <v>20.236701266513492</v>
      </c>
    </row>
    <row r="34" spans="2:8" x14ac:dyDescent="0.3">
      <c r="B34" s="17">
        <v>0.85</v>
      </c>
      <c r="C34" s="17">
        <v>0.79353908743075674</v>
      </c>
      <c r="D34" s="17">
        <v>3.8436801956127011</v>
      </c>
      <c r="E34" s="17">
        <v>0.26016732639240692</v>
      </c>
      <c r="F34" s="17">
        <v>1.1599271059708104E-2</v>
      </c>
      <c r="G34" s="17">
        <v>0.68154803678260123</v>
      </c>
      <c r="H34" s="17">
        <v>20.646091256924336</v>
      </c>
    </row>
    <row r="35" spans="2:8" x14ac:dyDescent="0.3">
      <c r="B35" s="17">
        <v>0.9</v>
      </c>
      <c r="C35" s="17">
        <v>0.78994719629898924</v>
      </c>
      <c r="D35" s="17">
        <v>3.7608483378113542</v>
      </c>
      <c r="E35" s="17">
        <v>0.26589745455727559</v>
      </c>
      <c r="F35" s="17">
        <v>1.1587241111668242E-2</v>
      </c>
      <c r="G35" s="17">
        <v>0.68088867533053643</v>
      </c>
      <c r="H35" s="17">
        <v>21.005280370101076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91C93-8228-4E85-B9E3-FB80BE715EB6}">
  <dimension ref="B2:Y42"/>
  <sheetViews>
    <sheetView zoomScale="72" zoomScaleNormal="55" workbookViewId="0">
      <selection activeCell="T25" sqref="T25"/>
    </sheetView>
  </sheetViews>
  <sheetFormatPr baseColWidth="10" defaultRowHeight="14.4" x14ac:dyDescent="0.3"/>
  <cols>
    <col min="4" max="4" width="11.5546875" style="2"/>
    <col min="11" max="11" width="18.88671875" bestFit="1" customWidth="1"/>
    <col min="12" max="12" width="20" bestFit="1" customWidth="1"/>
    <col min="13" max="13" width="13.21875" bestFit="1" customWidth="1"/>
    <col min="14" max="14" width="14.44140625" bestFit="1" customWidth="1"/>
    <col min="17" max="17" width="24.109375" customWidth="1"/>
    <col min="18" max="18" width="14.109375" bestFit="1" customWidth="1"/>
    <col min="19" max="19" width="14.6640625" customWidth="1"/>
    <col min="20" max="20" width="13.6640625" bestFit="1" customWidth="1"/>
  </cols>
  <sheetData>
    <row r="2" spans="2:18" x14ac:dyDescent="0.3">
      <c r="B2" s="1" t="s">
        <v>22</v>
      </c>
      <c r="C2" s="1" t="s">
        <v>23</v>
      </c>
      <c r="D2" s="1" t="s">
        <v>24</v>
      </c>
      <c r="E2" s="1" t="s">
        <v>25</v>
      </c>
      <c r="F2" s="1" t="s">
        <v>26</v>
      </c>
      <c r="G2" s="1" t="s">
        <v>27</v>
      </c>
      <c r="H2" s="1" t="s">
        <v>57</v>
      </c>
      <c r="I2" s="1" t="s">
        <v>0</v>
      </c>
      <c r="K2" s="30" t="s">
        <v>56</v>
      </c>
      <c r="L2" s="30"/>
      <c r="N2" s="30" t="s">
        <v>65</v>
      </c>
      <c r="O2" s="30"/>
      <c r="Q2" s="30" t="s">
        <v>116</v>
      </c>
      <c r="R2" s="30"/>
    </row>
    <row r="3" spans="2:18" x14ac:dyDescent="0.3">
      <c r="B3" s="3">
        <v>1</v>
      </c>
      <c r="C3" s="4">
        <v>1173.1500000000001</v>
      </c>
      <c r="D3" s="5">
        <v>25</v>
      </c>
      <c r="E3" s="4">
        <v>1480.0123118353019</v>
      </c>
      <c r="F3" s="7">
        <v>3.1463579096737231</v>
      </c>
      <c r="G3" s="4">
        <v>1000</v>
      </c>
      <c r="H3" s="4">
        <v>852.0638237103999</v>
      </c>
      <c r="I3" s="4">
        <f>C3-273.15</f>
        <v>900.00000000000011</v>
      </c>
      <c r="K3" s="8" t="s">
        <v>40</v>
      </c>
      <c r="L3" s="8" t="s">
        <v>41</v>
      </c>
      <c r="N3" s="8" t="s">
        <v>40</v>
      </c>
      <c r="O3" s="8" t="s">
        <v>41</v>
      </c>
      <c r="Q3" s="22" t="s">
        <v>40</v>
      </c>
      <c r="R3" s="22" t="s">
        <v>41</v>
      </c>
    </row>
    <row r="4" spans="2:18" x14ac:dyDescent="0.3">
      <c r="B4" s="3">
        <v>2</v>
      </c>
      <c r="C4" s="4">
        <v>1114.5692189136419</v>
      </c>
      <c r="D4" s="5">
        <v>17.482517482517483</v>
      </c>
      <c r="E4" s="4">
        <v>1404.7163794364055</v>
      </c>
      <c r="F4" s="7">
        <v>3.1515313348291665</v>
      </c>
      <c r="G4" s="4">
        <v>1000</v>
      </c>
      <c r="H4" s="4">
        <v>775.22543460140798</v>
      </c>
      <c r="I4" s="4">
        <f t="shared" ref="I4:I42" si="0">C4-273.15</f>
        <v>841.41921891364188</v>
      </c>
      <c r="K4" s="9" t="s">
        <v>42</v>
      </c>
      <c r="L4" s="7">
        <v>197.01139918140578</v>
      </c>
      <c r="N4" s="9" t="s">
        <v>66</v>
      </c>
      <c r="O4" s="10">
        <v>75295.932398896432</v>
      </c>
      <c r="Q4" s="13" t="s">
        <v>98</v>
      </c>
      <c r="R4" s="6">
        <v>15996.693529577993</v>
      </c>
    </row>
    <row r="5" spans="2:18" x14ac:dyDescent="0.3">
      <c r="B5" s="3">
        <v>3</v>
      </c>
      <c r="C5" s="4">
        <v>1173.1500000000001</v>
      </c>
      <c r="D5" s="5">
        <v>17.482517482517483</v>
      </c>
      <c r="E5" s="4">
        <v>1480.4942892017907</v>
      </c>
      <c r="F5" s="7">
        <v>3.2177913111550378</v>
      </c>
      <c r="G5" s="4">
        <v>1000</v>
      </c>
      <c r="H5" s="4">
        <v>831.24793242523447</v>
      </c>
      <c r="I5" s="4">
        <f t="shared" si="0"/>
        <v>900.00000000000011</v>
      </c>
      <c r="K5" s="9" t="s">
        <v>43</v>
      </c>
      <c r="L5" s="7">
        <v>75.77790976538509</v>
      </c>
      <c r="N5" s="9" t="s">
        <v>67</v>
      </c>
      <c r="O5" s="10">
        <v>131294.66508372221</v>
      </c>
      <c r="Q5" s="13" t="s">
        <v>99</v>
      </c>
      <c r="R5" s="6">
        <v>17275.788325127607</v>
      </c>
    </row>
    <row r="6" spans="2:18" x14ac:dyDescent="0.3">
      <c r="B6" s="3">
        <v>4</v>
      </c>
      <c r="C6" s="4">
        <v>1069.6344049057263</v>
      </c>
      <c r="D6" s="5">
        <v>9.1240875912408761</v>
      </c>
      <c r="E6" s="4">
        <v>1349.1996241180684</v>
      </c>
      <c r="F6" s="7">
        <v>3.227207289175213</v>
      </c>
      <c r="G6" s="4">
        <v>1000</v>
      </c>
      <c r="H6" s="4">
        <v>697.14589349479706</v>
      </c>
      <c r="I6" s="4">
        <f t="shared" si="0"/>
        <v>796.48440490572636</v>
      </c>
      <c r="K6" s="13" t="s">
        <v>47</v>
      </c>
      <c r="L6" s="7">
        <v>272.78930894679087</v>
      </c>
      <c r="N6" s="9" t="s">
        <v>68</v>
      </c>
      <c r="O6" s="10">
        <v>7647.3866633769367</v>
      </c>
      <c r="Q6" s="13" t="s">
        <v>100</v>
      </c>
      <c r="R6" s="6">
        <v>476246.11519307818</v>
      </c>
    </row>
    <row r="7" spans="2:18" x14ac:dyDescent="0.3">
      <c r="B7" s="3">
        <v>5</v>
      </c>
      <c r="C7" s="4">
        <v>592.37305460286814</v>
      </c>
      <c r="D7" s="5">
        <v>9.1240875912408761</v>
      </c>
      <c r="E7" s="4">
        <v>772.2645689933064</v>
      </c>
      <c r="F7" s="7">
        <v>2.5164974849797748</v>
      </c>
      <c r="G7" s="4">
        <v>1000</v>
      </c>
      <c r="H7" s="4">
        <v>332.10896649090478</v>
      </c>
      <c r="I7" s="4">
        <f t="shared" si="0"/>
        <v>319.22305460286816</v>
      </c>
      <c r="K7" s="9" t="s">
        <v>44</v>
      </c>
      <c r="L7" s="7">
        <v>591.7282511386129</v>
      </c>
      <c r="N7" s="9" t="s">
        <v>69</v>
      </c>
      <c r="O7" s="10">
        <v>-38822.704532947573</v>
      </c>
      <c r="Q7" s="13" t="s">
        <v>105</v>
      </c>
      <c r="R7" s="6">
        <v>92272.151831478855</v>
      </c>
    </row>
    <row r="8" spans="2:18" x14ac:dyDescent="0.3">
      <c r="B8" s="3">
        <v>6</v>
      </c>
      <c r="C8" s="4">
        <v>440.06898750789043</v>
      </c>
      <c r="D8" s="5">
        <v>9.1240875912408761</v>
      </c>
      <c r="E8" s="4">
        <v>596.73677012773305</v>
      </c>
      <c r="F8" s="7">
        <v>2.1736996704556586</v>
      </c>
      <c r="G8" s="4">
        <v>1000</v>
      </c>
      <c r="H8" s="4">
        <v>258.78633602569676</v>
      </c>
      <c r="I8" s="4">
        <f t="shared" si="0"/>
        <v>166.91898750789045</v>
      </c>
      <c r="K8" s="9" t="s">
        <v>45</v>
      </c>
      <c r="L8" s="7">
        <v>175.52779886557337</v>
      </c>
      <c r="N8" s="9" t="s">
        <v>70</v>
      </c>
      <c r="O8" s="10">
        <v>-17748.922071558391</v>
      </c>
      <c r="Q8" s="13" t="s">
        <v>104</v>
      </c>
      <c r="R8" s="6">
        <v>33.890151114468985</v>
      </c>
    </row>
    <row r="9" spans="2:18" x14ac:dyDescent="0.3">
      <c r="B9" s="3" t="s">
        <v>29</v>
      </c>
      <c r="C9" s="4">
        <v>440.06898750789043</v>
      </c>
      <c r="D9" s="5">
        <v>9.1240875912408761</v>
      </c>
      <c r="E9" s="4">
        <v>596.73677012773305</v>
      </c>
      <c r="F9" s="7">
        <v>2.1736996704556586</v>
      </c>
      <c r="G9" s="4">
        <v>812.25202719833999</v>
      </c>
      <c r="H9" s="4">
        <v>258.78633602569676</v>
      </c>
      <c r="I9" s="4">
        <f t="shared" si="0"/>
        <v>166.91898750789045</v>
      </c>
      <c r="K9" s="9" t="s">
        <v>48</v>
      </c>
      <c r="L9" s="7">
        <v>11.61019553224269</v>
      </c>
      <c r="N9" s="9" t="s">
        <v>71</v>
      </c>
      <c r="O9" s="10">
        <v>-6.1854710336906438</v>
      </c>
      <c r="Q9" s="13" t="s">
        <v>101</v>
      </c>
      <c r="R9" s="6">
        <v>8302555.2567487583</v>
      </c>
    </row>
    <row r="10" spans="2:18" x14ac:dyDescent="0.3">
      <c r="B10" s="3" t="s">
        <v>30</v>
      </c>
      <c r="C10" s="4">
        <v>426.20393967688454</v>
      </c>
      <c r="D10" s="5">
        <v>9.1240875912408761</v>
      </c>
      <c r="E10" s="4">
        <v>0.58006351274370938</v>
      </c>
      <c r="F10" s="7">
        <v>2.1352002142002785E-3</v>
      </c>
      <c r="G10" s="4">
        <v>812.25202719833999</v>
      </c>
      <c r="H10" s="4">
        <v>0.25360552089977978</v>
      </c>
      <c r="I10" s="4">
        <f t="shared" si="0"/>
        <v>153.05393967688457</v>
      </c>
      <c r="K10" s="9" t="s">
        <v>49</v>
      </c>
      <c r="L10" s="7">
        <v>72.258647661746068</v>
      </c>
      <c r="N10" s="9" t="s">
        <v>72</v>
      </c>
      <c r="O10" s="10">
        <v>150018.97087811268</v>
      </c>
      <c r="Q10" s="13" t="s">
        <v>102</v>
      </c>
      <c r="R10" s="6">
        <v>6383031.9588786885</v>
      </c>
    </row>
    <row r="11" spans="2:18" x14ac:dyDescent="0.3">
      <c r="B11" s="2" t="s">
        <v>31</v>
      </c>
      <c r="C11" s="4">
        <v>357.24648058947918</v>
      </c>
      <c r="D11" s="5">
        <v>9.1240875912408761</v>
      </c>
      <c r="E11" s="4">
        <v>0.48705207701453501</v>
      </c>
      <c r="F11" s="7">
        <v>1.8961819516546078E-3</v>
      </c>
      <c r="G11" s="4">
        <v>812.25202719833999</v>
      </c>
      <c r="H11" s="4">
        <v>0.23185738014859708</v>
      </c>
      <c r="I11" s="4">
        <f t="shared" si="0"/>
        <v>84.096480589479199</v>
      </c>
      <c r="K11" s="9" t="s">
        <v>50</v>
      </c>
      <c r="L11" s="7">
        <v>14.52880688025372</v>
      </c>
      <c r="N11" s="9" t="s">
        <v>73</v>
      </c>
      <c r="O11" s="10">
        <v>7641.2011923432465</v>
      </c>
      <c r="Q11" s="13" t="s">
        <v>103</v>
      </c>
      <c r="R11" s="6">
        <v>11130190.125276349</v>
      </c>
    </row>
    <row r="12" spans="2:18" x14ac:dyDescent="0.3">
      <c r="B12" s="3" t="s">
        <v>32</v>
      </c>
      <c r="C12" s="4">
        <v>346.16670523637293</v>
      </c>
      <c r="D12" s="5">
        <v>9.1240875912408761</v>
      </c>
      <c r="E12" s="4">
        <v>0.46798922255412118</v>
      </c>
      <c r="F12" s="7">
        <v>1.8419575395601402E-3</v>
      </c>
      <c r="G12" s="4">
        <v>812.25202719833999</v>
      </c>
      <c r="H12" s="4">
        <v>0.22896153415414877</v>
      </c>
      <c r="I12" s="4">
        <f t="shared" si="0"/>
        <v>73.016705236372957</v>
      </c>
      <c r="K12" s="9" t="s">
        <v>51</v>
      </c>
      <c r="L12" s="7">
        <v>98.397650074242492</v>
      </c>
      <c r="N12" s="11" t="s">
        <v>74</v>
      </c>
      <c r="O12" s="12">
        <v>157660.17207045591</v>
      </c>
      <c r="Q12" s="13" t="s">
        <v>106</v>
      </c>
      <c r="R12" s="6">
        <v>648288.85065978777</v>
      </c>
    </row>
    <row r="13" spans="2:18" x14ac:dyDescent="0.3">
      <c r="B13" s="3" t="s">
        <v>33</v>
      </c>
      <c r="C13" s="4">
        <v>346.16482465658697</v>
      </c>
      <c r="D13" s="5">
        <v>9.1240875912408761</v>
      </c>
      <c r="E13" s="4">
        <v>467.9857494877009</v>
      </c>
      <c r="F13" s="7">
        <v>1.8419475065836266</v>
      </c>
      <c r="G13" s="4">
        <v>812.25202719833999</v>
      </c>
      <c r="H13" s="4">
        <v>228.96105241967604</v>
      </c>
      <c r="I13" s="4">
        <f t="shared" si="0"/>
        <v>73.014824656586995</v>
      </c>
      <c r="K13" s="9" t="s">
        <v>52</v>
      </c>
      <c r="L13" s="7">
        <v>76.087465131828566</v>
      </c>
      <c r="Q13" s="13" t="s">
        <v>107</v>
      </c>
      <c r="R13" s="6">
        <v>-1475969.3454745074</v>
      </c>
    </row>
    <row r="14" spans="2:18" x14ac:dyDescent="0.3">
      <c r="B14" s="3" t="s">
        <v>34</v>
      </c>
      <c r="C14" s="4">
        <v>440.06898750789043</v>
      </c>
      <c r="D14" s="5">
        <v>9.1240875912408761</v>
      </c>
      <c r="E14" s="4">
        <v>596.73677012773305</v>
      </c>
      <c r="F14" s="7">
        <v>2.1736996704556586</v>
      </c>
      <c r="G14" s="4">
        <v>187.74797280166001</v>
      </c>
      <c r="H14" s="4">
        <v>258.78633602569676</v>
      </c>
      <c r="I14" s="4">
        <f t="shared" si="0"/>
        <v>166.91898750789045</v>
      </c>
      <c r="K14" s="9" t="s">
        <v>54</v>
      </c>
      <c r="L14" s="7">
        <v>14.668983750070673</v>
      </c>
      <c r="N14" s="31" t="s">
        <v>75</v>
      </c>
      <c r="O14" s="31"/>
      <c r="Q14" s="13" t="s">
        <v>108</v>
      </c>
      <c r="R14" s="6">
        <v>-674782.06910092139</v>
      </c>
    </row>
    <row r="15" spans="2:18" x14ac:dyDescent="0.3">
      <c r="B15" s="3">
        <v>7</v>
      </c>
      <c r="C15" s="4">
        <v>328.15</v>
      </c>
      <c r="D15" s="5">
        <v>9.1240875912408761</v>
      </c>
      <c r="E15" s="4">
        <v>427.37611738856413</v>
      </c>
      <c r="F15" s="7">
        <v>1.72122584179495</v>
      </c>
      <c r="G15" s="4">
        <v>812.25202719833999</v>
      </c>
      <c r="H15" s="4">
        <v>224.33075530171814</v>
      </c>
      <c r="I15" s="4">
        <f t="shared" si="0"/>
        <v>55</v>
      </c>
      <c r="K15" s="9" t="s">
        <v>53</v>
      </c>
      <c r="L15" s="7">
        <v>90.756448881899232</v>
      </c>
      <c r="N15" s="9" t="s">
        <v>80</v>
      </c>
      <c r="O15" s="10">
        <v>7.7656338200941244</v>
      </c>
      <c r="Q15" s="13" t="s">
        <v>109</v>
      </c>
      <c r="R15" s="6">
        <v>-235.16047485305765</v>
      </c>
    </row>
    <row r="16" spans="2:18" x14ac:dyDescent="0.3">
      <c r="B16" s="3">
        <v>8</v>
      </c>
      <c r="C16" s="4">
        <v>407.64113086711654</v>
      </c>
      <c r="D16" s="5">
        <v>25</v>
      </c>
      <c r="E16" s="4">
        <v>475.17249490805983</v>
      </c>
      <c r="F16" s="7">
        <v>1.7329873803681137</v>
      </c>
      <c r="G16" s="4">
        <v>812.25202719833999</v>
      </c>
      <c r="H16" s="4">
        <v>268.62043009562507</v>
      </c>
      <c r="I16" s="4">
        <f t="shared" si="0"/>
        <v>134.49113086711657</v>
      </c>
      <c r="K16" s="9" t="s">
        <v>46</v>
      </c>
      <c r="L16" s="7">
        <v>2.8210052404935883E-3</v>
      </c>
      <c r="N16" s="9" t="s">
        <v>81</v>
      </c>
      <c r="O16" s="10">
        <v>54.994446614245696</v>
      </c>
      <c r="Q16" s="13" t="s">
        <v>110</v>
      </c>
      <c r="R16" s="6">
        <v>1591444.5174733943</v>
      </c>
    </row>
    <row r="17" spans="2:25" x14ac:dyDescent="0.3">
      <c r="B17" s="3">
        <v>9</v>
      </c>
      <c r="C17" s="4">
        <v>552.25174153326532</v>
      </c>
      <c r="D17" s="5">
        <v>25</v>
      </c>
      <c r="E17" s="4">
        <v>691.27266208278832</v>
      </c>
      <c r="F17" s="7">
        <v>2.1909309739824532</v>
      </c>
      <c r="G17" s="4">
        <v>812.25202719833999</v>
      </c>
      <c r="H17" s="4">
        <v>348.18471483423826</v>
      </c>
      <c r="I17" s="4">
        <f t="shared" si="0"/>
        <v>279.10174153326534</v>
      </c>
      <c r="K17" s="11" t="s">
        <v>55</v>
      </c>
      <c r="L17" s="16">
        <v>-32.985255990966728</v>
      </c>
      <c r="N17" s="9" t="s">
        <v>82</v>
      </c>
      <c r="O17" s="10">
        <v>16.477593217708954</v>
      </c>
      <c r="Q17" s="13" t="s">
        <v>111</v>
      </c>
      <c r="R17" s="6">
        <v>1331025.8266823676</v>
      </c>
    </row>
    <row r="18" spans="2:25" x14ac:dyDescent="0.3">
      <c r="B18" s="3">
        <v>10</v>
      </c>
      <c r="C18" s="4">
        <v>552.25174153326532</v>
      </c>
      <c r="D18" s="5">
        <v>25</v>
      </c>
      <c r="E18" s="4">
        <v>691.27266208278832</v>
      </c>
      <c r="F18" s="7">
        <v>2.1909309739824532</v>
      </c>
      <c r="G18" s="4">
        <v>187.74797280166001</v>
      </c>
      <c r="H18" s="4">
        <v>348.18471483423826</v>
      </c>
      <c r="I18" s="4">
        <f t="shared" si="0"/>
        <v>279.10174153326534</v>
      </c>
      <c r="N18" s="9" t="s">
        <v>83</v>
      </c>
      <c r="O18" s="10">
        <v>55.457122957656523</v>
      </c>
      <c r="Q18" s="13" t="s">
        <v>112</v>
      </c>
      <c r="R18" s="6">
        <v>244216595.38173544</v>
      </c>
    </row>
    <row r="19" spans="2:25" x14ac:dyDescent="0.3">
      <c r="B19" s="3">
        <v>11</v>
      </c>
      <c r="C19" s="4">
        <v>552.25174153326532</v>
      </c>
      <c r="D19" s="5">
        <v>25</v>
      </c>
      <c r="E19" s="4">
        <v>691.27266208278832</v>
      </c>
      <c r="F19" s="7">
        <v>2.1909309739824532</v>
      </c>
      <c r="G19" s="4">
        <v>1000</v>
      </c>
      <c r="H19" s="4">
        <v>348.18471483423826</v>
      </c>
      <c r="I19" s="4">
        <f t="shared" si="0"/>
        <v>279.10174153326534</v>
      </c>
      <c r="K19" s="31" t="s">
        <v>58</v>
      </c>
      <c r="L19" s="31"/>
      <c r="N19" s="9" t="s">
        <v>84</v>
      </c>
      <c r="O19" s="10">
        <v>57.795583221044943</v>
      </c>
      <c r="Q19" s="13" t="s">
        <v>123</v>
      </c>
      <c r="R19" s="6">
        <v>291669711.90011054</v>
      </c>
    </row>
    <row r="20" spans="2:25" x14ac:dyDescent="0.3">
      <c r="B20" s="3">
        <v>12</v>
      </c>
      <c r="C20" s="4">
        <v>1021.1165618252154</v>
      </c>
      <c r="D20" s="5">
        <v>25</v>
      </c>
      <c r="E20" s="4">
        <v>1283.0009126538962</v>
      </c>
      <c r="F20" s="7">
        <v>2.9665368279795343</v>
      </c>
      <c r="G20" s="4">
        <v>1000</v>
      </c>
      <c r="H20" s="4">
        <v>708.66608003611657</v>
      </c>
      <c r="I20" s="4">
        <f t="shared" si="0"/>
        <v>747.96656182521542</v>
      </c>
      <c r="K20" s="13" t="s">
        <v>59</v>
      </c>
      <c r="L20" s="4">
        <v>11055.95030163149</v>
      </c>
      <c r="N20" s="9" t="s">
        <v>85</v>
      </c>
      <c r="O20" s="10">
        <v>3.6384289766431053</v>
      </c>
      <c r="Q20" s="30" t="s">
        <v>117</v>
      </c>
      <c r="R20" s="30"/>
      <c r="S20" s="30" t="s">
        <v>117</v>
      </c>
      <c r="T20" s="30"/>
    </row>
    <row r="21" spans="2:25" x14ac:dyDescent="0.3">
      <c r="B21" s="3">
        <v>17</v>
      </c>
      <c r="C21" s="4">
        <v>313.14999999999998</v>
      </c>
      <c r="D21" s="5">
        <v>7.8923107438086744</v>
      </c>
      <c r="E21" s="4">
        <v>-132.35463919610541</v>
      </c>
      <c r="F21" s="7">
        <v>-0.37994748587359245</v>
      </c>
      <c r="G21" s="4">
        <v>188.33289059090924</v>
      </c>
      <c r="H21" s="4">
        <v>0.52460446529691762</v>
      </c>
      <c r="I21" s="4">
        <f t="shared" si="0"/>
        <v>40</v>
      </c>
      <c r="K21" s="13" t="s">
        <v>60</v>
      </c>
      <c r="L21" s="4">
        <v>2142.0779977592824</v>
      </c>
      <c r="N21" s="9" t="s">
        <v>86</v>
      </c>
      <c r="O21" s="10">
        <v>20.833575153875099</v>
      </c>
      <c r="Q21" s="22" t="s">
        <v>118</v>
      </c>
      <c r="R21" s="22" t="s">
        <v>41</v>
      </c>
      <c r="S21" s="22" t="s">
        <v>118</v>
      </c>
      <c r="T21" s="22" t="s">
        <v>41</v>
      </c>
    </row>
    <row r="22" spans="2:25" x14ac:dyDescent="0.3">
      <c r="B22" s="3">
        <v>18</v>
      </c>
      <c r="C22" s="4">
        <v>313.1583575108412</v>
      </c>
      <c r="D22" s="5">
        <v>31.569242975234697</v>
      </c>
      <c r="E22" s="4">
        <v>-132.32179590986752</v>
      </c>
      <c r="F22" s="7">
        <v>-0.37993175416231956</v>
      </c>
      <c r="G22" s="4">
        <v>188.33289059090924</v>
      </c>
      <c r="H22" s="4">
        <v>0.55275734181882941</v>
      </c>
      <c r="I22" s="4">
        <f t="shared" si="0"/>
        <v>40.008357510841222</v>
      </c>
      <c r="K22" s="13" t="s">
        <v>61</v>
      </c>
      <c r="L22" s="4">
        <v>371.35977178888459</v>
      </c>
      <c r="N22" s="9" t="s">
        <v>87</v>
      </c>
      <c r="O22" s="6">
        <v>16.104154074250307</v>
      </c>
      <c r="Q22" s="23" t="s">
        <v>113</v>
      </c>
      <c r="R22" s="24">
        <v>259477.5692442265</v>
      </c>
      <c r="S22" s="23" t="s">
        <v>129</v>
      </c>
      <c r="T22" s="27">
        <v>0</v>
      </c>
    </row>
    <row r="23" spans="2:25" x14ac:dyDescent="0.3">
      <c r="B23" s="3" t="s">
        <v>35</v>
      </c>
      <c r="C23" s="4">
        <v>347.24648058947918</v>
      </c>
      <c r="D23" s="5">
        <v>31.569242975234697</v>
      </c>
      <c r="E23" s="4">
        <v>-70.674595063457787</v>
      </c>
      <c r="F23" s="7">
        <v>-0.19317568283781225</v>
      </c>
      <c r="G23" s="4">
        <v>188.33289059090924</v>
      </c>
      <c r="H23" s="4">
        <v>6.518635522826691</v>
      </c>
      <c r="I23" s="4">
        <f t="shared" si="0"/>
        <v>74.096480589479199</v>
      </c>
      <c r="K23" s="13" t="s">
        <v>62</v>
      </c>
      <c r="L23" s="4">
        <v>401.05368012646488</v>
      </c>
      <c r="N23" s="9" t="s">
        <v>88</v>
      </c>
      <c r="O23" s="6">
        <v>21.004494873055776</v>
      </c>
      <c r="Q23" s="23" t="s">
        <v>114</v>
      </c>
      <c r="R23" s="24">
        <v>492608866.3924107</v>
      </c>
      <c r="S23" s="23" t="s">
        <v>128</v>
      </c>
      <c r="T23" s="27">
        <v>0</v>
      </c>
    </row>
    <row r="24" spans="2:25" x14ac:dyDescent="0.3">
      <c r="B24" s="3" t="s">
        <v>36</v>
      </c>
      <c r="C24" s="4">
        <v>347.24648058947918</v>
      </c>
      <c r="D24" s="5">
        <v>31.569242975234697</v>
      </c>
      <c r="E24" s="4">
        <v>313.00054226931974</v>
      </c>
      <c r="F24" s="7">
        <v>0.91173151933586583</v>
      </c>
      <c r="G24" s="4">
        <v>188.33289059090924</v>
      </c>
      <c r="H24" s="4">
        <v>60.765690527522125</v>
      </c>
      <c r="I24" s="4">
        <f t="shared" si="0"/>
        <v>74.096480589479199</v>
      </c>
      <c r="K24" s="13" t="s">
        <v>63</v>
      </c>
      <c r="L24" s="4">
        <v>0.7867525098539554</v>
      </c>
      <c r="N24" s="11" t="s">
        <v>89</v>
      </c>
      <c r="O24" s="15">
        <v>21.005280370101076</v>
      </c>
      <c r="Q24" s="23" t="s">
        <v>115</v>
      </c>
      <c r="R24" s="24">
        <v>23402221.401515387</v>
      </c>
      <c r="S24" s="23" t="s">
        <v>127</v>
      </c>
      <c r="T24" s="27">
        <v>291669711.90011054</v>
      </c>
      <c r="V24" s="9"/>
      <c r="W24" s="9"/>
      <c r="X24" s="9"/>
      <c r="Y24" s="9"/>
    </row>
    <row r="25" spans="2:25" x14ac:dyDescent="0.3">
      <c r="B25" s="3">
        <v>15</v>
      </c>
      <c r="C25" s="4">
        <v>401.06898750789043</v>
      </c>
      <c r="D25" s="5">
        <v>31.569242975234697</v>
      </c>
      <c r="E25" s="4">
        <v>390.14483095234505</v>
      </c>
      <c r="F25" s="7">
        <v>1.1179345894579515</v>
      </c>
      <c r="G25" s="4">
        <v>188.33289059090924</v>
      </c>
      <c r="H25" s="4">
        <v>76.430533853647646</v>
      </c>
      <c r="I25" s="4">
        <f t="shared" si="0"/>
        <v>127.91898750789045</v>
      </c>
      <c r="K25" s="13" t="s">
        <v>64</v>
      </c>
      <c r="L25" s="4">
        <v>192742.0200749549</v>
      </c>
      <c r="Q25" s="9"/>
      <c r="R25" s="9"/>
      <c r="S25" s="9"/>
      <c r="T25" s="26">
        <v>563723681.88154542</v>
      </c>
      <c r="V25" s="9"/>
      <c r="W25" s="9"/>
      <c r="X25" s="9"/>
      <c r="Y25" s="9"/>
    </row>
    <row r="26" spans="2:25" x14ac:dyDescent="0.3">
      <c r="B26" s="3">
        <v>16</v>
      </c>
      <c r="C26" s="4">
        <v>372.78365166096796</v>
      </c>
      <c r="D26" s="5">
        <v>7.8923107438086744</v>
      </c>
      <c r="E26" s="4">
        <v>349.53914259179015</v>
      </c>
      <c r="F26" s="7">
        <v>1.1372887578278126</v>
      </c>
      <c r="G26" s="4">
        <v>188.33289059090924</v>
      </c>
      <c r="H26" s="4">
        <v>30.054400193618669</v>
      </c>
      <c r="I26" s="4">
        <f t="shared" si="0"/>
        <v>99.633651660967985</v>
      </c>
      <c r="N26" s="31" t="s">
        <v>76</v>
      </c>
      <c r="O26" s="31"/>
      <c r="Q26" s="9"/>
      <c r="R26" s="9"/>
      <c r="S26" s="9"/>
      <c r="T26" s="9"/>
      <c r="V26" s="9"/>
      <c r="W26" s="9"/>
      <c r="X26" s="9"/>
      <c r="Y26" s="9"/>
    </row>
    <row r="27" spans="2:25" x14ac:dyDescent="0.3">
      <c r="B27" s="3" t="s">
        <v>28</v>
      </c>
      <c r="C27" s="4">
        <v>313.14999999999998</v>
      </c>
      <c r="D27" s="5">
        <v>7.8923107438086744</v>
      </c>
      <c r="E27" s="4">
        <v>271.65055019539255</v>
      </c>
      <c r="F27" s="7">
        <v>0.91018564327057938</v>
      </c>
      <c r="G27" s="4">
        <v>188.33289059090924</v>
      </c>
      <c r="H27" s="4">
        <v>19.876601402460075</v>
      </c>
      <c r="I27" s="4">
        <f t="shared" si="0"/>
        <v>40</v>
      </c>
      <c r="N27" s="13" t="s">
        <v>77</v>
      </c>
      <c r="O27" s="6">
        <v>0.62993827838740779</v>
      </c>
      <c r="Q27" s="9"/>
      <c r="R27" s="9"/>
      <c r="S27" s="9"/>
      <c r="T27" s="9"/>
      <c r="U27" s="9"/>
      <c r="V27" s="9"/>
      <c r="W27" s="9"/>
      <c r="X27" s="9"/>
      <c r="Y27" s="9"/>
    </row>
    <row r="28" spans="2:25" x14ac:dyDescent="0.3">
      <c r="B28" s="3" t="s">
        <v>37</v>
      </c>
      <c r="C28" s="4">
        <v>298.14999999999998</v>
      </c>
      <c r="D28" s="5">
        <v>101.325</v>
      </c>
      <c r="E28" s="4">
        <v>104.92011957080643</v>
      </c>
      <c r="F28" s="7">
        <v>0.36719964130372146</v>
      </c>
      <c r="G28" s="4">
        <v>3640.1320020358544</v>
      </c>
      <c r="H28" s="4">
        <v>2.5073905791015251E-5</v>
      </c>
      <c r="I28" s="4">
        <f t="shared" si="0"/>
        <v>25</v>
      </c>
      <c r="N28" s="13" t="s">
        <v>78</v>
      </c>
      <c r="O28" s="6">
        <v>0.99770990140218263</v>
      </c>
      <c r="Q28" s="9"/>
      <c r="R28" s="9"/>
      <c r="S28" s="9"/>
      <c r="T28" s="9"/>
      <c r="U28" s="9"/>
      <c r="V28" s="9"/>
      <c r="W28" s="9"/>
      <c r="X28" s="9"/>
      <c r="Y28" s="9"/>
    </row>
    <row r="29" spans="2:25" x14ac:dyDescent="0.3">
      <c r="B29" s="3" t="s">
        <v>38</v>
      </c>
      <c r="C29" s="4">
        <v>303.14999999999998</v>
      </c>
      <c r="D29" s="5">
        <v>101.325</v>
      </c>
      <c r="E29" s="4">
        <v>125.82251132178534</v>
      </c>
      <c r="F29" s="7">
        <v>0.43672528196163279</v>
      </c>
      <c r="G29" s="4">
        <v>3640.1320020358544</v>
      </c>
      <c r="H29" s="4">
        <v>0.17334706272843686</v>
      </c>
      <c r="I29" s="4">
        <f t="shared" si="0"/>
        <v>30</v>
      </c>
      <c r="N29" s="14" t="s">
        <v>79</v>
      </c>
      <c r="O29" s="15">
        <v>0.6</v>
      </c>
      <c r="Q29" s="9"/>
      <c r="R29" s="9"/>
      <c r="S29" s="9"/>
      <c r="T29" s="9"/>
      <c r="U29" s="9"/>
      <c r="V29" s="9"/>
      <c r="W29" s="9"/>
      <c r="X29" s="9"/>
      <c r="Y29" s="9"/>
    </row>
    <row r="30" spans="2:25" x14ac:dyDescent="0.3">
      <c r="B30" s="3" t="s">
        <v>39</v>
      </c>
      <c r="C30" s="4">
        <v>304.11412786051727</v>
      </c>
      <c r="D30" s="5">
        <v>101.325</v>
      </c>
      <c r="E30" s="4">
        <v>129.85230577480698</v>
      </c>
      <c r="F30" s="7">
        <v>0.44999725923128103</v>
      </c>
      <c r="G30" s="4">
        <v>3640.1320020358544</v>
      </c>
      <c r="H30" s="4">
        <v>0.24610149280446422</v>
      </c>
      <c r="I30" s="4">
        <f t="shared" si="0"/>
        <v>30.964127860517294</v>
      </c>
      <c r="Q30" s="9"/>
      <c r="R30" s="9"/>
      <c r="S30" s="9"/>
      <c r="T30" s="9"/>
      <c r="U30" s="9"/>
      <c r="V30" s="9"/>
      <c r="W30" s="9"/>
      <c r="X30" s="9"/>
      <c r="Y30" s="9"/>
    </row>
    <row r="31" spans="2:25" x14ac:dyDescent="0.3">
      <c r="B31" s="3" t="s">
        <v>29</v>
      </c>
      <c r="C31" s="4">
        <v>440.06898750789043</v>
      </c>
      <c r="D31" s="5">
        <v>9124.0875912408756</v>
      </c>
      <c r="E31" s="4">
        <v>596.73677012756878</v>
      </c>
      <c r="F31" s="7">
        <v>2.1736996704556586</v>
      </c>
      <c r="G31" s="4">
        <v>812.25202719833999</v>
      </c>
      <c r="H31" s="4">
        <v>258.80016540109756</v>
      </c>
      <c r="I31" s="4">
        <f t="shared" si="0"/>
        <v>166.91898750789045</v>
      </c>
      <c r="Q31" s="9"/>
      <c r="R31" s="9"/>
      <c r="S31" s="9"/>
      <c r="T31" s="9"/>
      <c r="U31" s="9"/>
      <c r="V31" s="9"/>
      <c r="W31" s="9"/>
      <c r="X31" s="9"/>
      <c r="Y31" s="9"/>
    </row>
    <row r="32" spans="2:25" x14ac:dyDescent="0.3">
      <c r="B32" s="3" t="s">
        <v>30</v>
      </c>
      <c r="C32" s="4">
        <v>426.20393967688454</v>
      </c>
      <c r="D32" s="5">
        <v>9124.0875912408756</v>
      </c>
      <c r="E32" s="4">
        <v>580.06351274370934</v>
      </c>
      <c r="F32" s="7">
        <v>2.1352002142002786</v>
      </c>
      <c r="G32" s="4">
        <v>812.25202719833999</v>
      </c>
      <c r="H32" s="4">
        <v>253.6055208997798</v>
      </c>
      <c r="I32" s="4">
        <f t="shared" si="0"/>
        <v>153.05393967688457</v>
      </c>
      <c r="Q32" s="9"/>
      <c r="R32" s="9"/>
      <c r="S32" s="9"/>
      <c r="T32" s="9"/>
      <c r="U32" s="9"/>
      <c r="V32" s="9"/>
      <c r="W32" s="9"/>
      <c r="X32" s="9"/>
      <c r="Y32" s="9"/>
    </row>
    <row r="33" spans="2:25" x14ac:dyDescent="0.3">
      <c r="B33" s="3" t="s">
        <v>31</v>
      </c>
      <c r="C33" s="4">
        <v>357.24648058947918</v>
      </c>
      <c r="D33" s="5">
        <v>9124.0875912408756</v>
      </c>
      <c r="E33" s="4">
        <v>487.05207701453503</v>
      </c>
      <c r="F33" s="7">
        <v>1.8961819516546079</v>
      </c>
      <c r="G33" s="4">
        <v>812.25202719833999</v>
      </c>
      <c r="H33" s="4">
        <v>231.85738014859709</v>
      </c>
      <c r="I33" s="4">
        <f t="shared" si="0"/>
        <v>84.096480589479199</v>
      </c>
      <c r="Q33" s="9"/>
      <c r="R33" s="9"/>
      <c r="S33" s="9"/>
      <c r="T33" s="9"/>
      <c r="U33" s="9"/>
      <c r="V33" s="9"/>
      <c r="W33" s="9"/>
      <c r="X33" s="9"/>
      <c r="Y33" s="9"/>
    </row>
    <row r="34" spans="2:25" x14ac:dyDescent="0.3">
      <c r="B34" s="2" t="s">
        <v>32</v>
      </c>
      <c r="C34" s="4">
        <v>346.16670523637293</v>
      </c>
      <c r="D34" s="5">
        <v>9124.0875912408756</v>
      </c>
      <c r="E34" s="4">
        <v>467.98922255412117</v>
      </c>
      <c r="F34" s="7">
        <v>1.8419575395601402</v>
      </c>
      <c r="G34" s="4">
        <v>812.25202719833999</v>
      </c>
      <c r="H34" s="4">
        <v>228.96153415414878</v>
      </c>
      <c r="I34" s="4">
        <f t="shared" si="0"/>
        <v>73.016705236372957</v>
      </c>
    </row>
    <row r="35" spans="2:25" x14ac:dyDescent="0.3">
      <c r="B35" s="2">
        <v>13</v>
      </c>
      <c r="C35" s="4">
        <v>298.14999999999998</v>
      </c>
      <c r="D35" s="5">
        <v>0.101325</v>
      </c>
      <c r="E35" s="4">
        <v>424.43605428165802</v>
      </c>
      <c r="F35" s="7">
        <v>3.8804887263997387</v>
      </c>
      <c r="G35" s="4">
        <v>0.1</v>
      </c>
      <c r="H35" s="4">
        <v>2.1111792130950945E-2</v>
      </c>
      <c r="I35" s="4">
        <f t="shared" si="0"/>
        <v>25</v>
      </c>
    </row>
    <row r="36" spans="2:25" x14ac:dyDescent="0.3">
      <c r="B36" s="2">
        <v>14</v>
      </c>
      <c r="C36" s="4">
        <v>278.14999999999998</v>
      </c>
      <c r="D36" s="5">
        <v>0.101325</v>
      </c>
      <c r="E36" s="4">
        <v>452.6461066865939</v>
      </c>
      <c r="F36" s="7">
        <v>3.9709195645679616</v>
      </c>
      <c r="G36" s="4">
        <v>0.1</v>
      </c>
      <c r="H36" s="4">
        <v>1.2692097972112533</v>
      </c>
      <c r="I36" s="4">
        <f t="shared" si="0"/>
        <v>5</v>
      </c>
    </row>
    <row r="37" spans="2:25" x14ac:dyDescent="0.3">
      <c r="B37" s="2" t="s">
        <v>32</v>
      </c>
      <c r="C37" s="4">
        <v>346.16670523637293</v>
      </c>
      <c r="D37" s="5">
        <v>9.1240875912408761</v>
      </c>
      <c r="E37" s="4">
        <v>467.98922255412117</v>
      </c>
      <c r="F37" s="7">
        <v>1.8419575395601402</v>
      </c>
      <c r="G37" s="4">
        <v>812.25202719833999</v>
      </c>
      <c r="H37" s="4">
        <v>228.96153415414878</v>
      </c>
      <c r="I37" s="4">
        <f t="shared" si="0"/>
        <v>73.016705236372957</v>
      </c>
    </row>
    <row r="38" spans="2:25" x14ac:dyDescent="0.3">
      <c r="B38" s="2" t="s">
        <v>33</v>
      </c>
      <c r="C38" s="4">
        <v>346.16482465658697</v>
      </c>
      <c r="D38" s="5">
        <v>9.1240875912408761</v>
      </c>
      <c r="E38" s="4">
        <v>467.9857494877009</v>
      </c>
      <c r="F38" s="7">
        <v>1.8419475065836266</v>
      </c>
      <c r="G38" s="4">
        <v>812.25202719833999</v>
      </c>
      <c r="H38" s="4">
        <v>228.96105241967604</v>
      </c>
      <c r="I38" s="4">
        <f t="shared" si="0"/>
        <v>73.014824656586995</v>
      </c>
    </row>
    <row r="39" spans="2:25" x14ac:dyDescent="0.3">
      <c r="B39" s="2" t="s">
        <v>33</v>
      </c>
      <c r="C39" s="4">
        <v>346.16482465658697</v>
      </c>
      <c r="D39" s="5">
        <v>9124.0875912408756</v>
      </c>
      <c r="E39" s="4">
        <v>467.98574948113162</v>
      </c>
      <c r="F39" s="7">
        <v>1.8419475065836266</v>
      </c>
      <c r="G39" s="4">
        <v>812.25202719833999</v>
      </c>
      <c r="H39" s="4">
        <v>228.96105241310678</v>
      </c>
      <c r="I39" s="4">
        <f t="shared" si="0"/>
        <v>73.014824656586995</v>
      </c>
    </row>
    <row r="40" spans="2:25" x14ac:dyDescent="0.3">
      <c r="B40" s="2">
        <v>7</v>
      </c>
      <c r="C40" s="4">
        <v>328.15</v>
      </c>
      <c r="D40" s="5">
        <v>9124.0875912408756</v>
      </c>
      <c r="E40" s="4">
        <v>427.37611738856413</v>
      </c>
      <c r="F40" s="7">
        <v>1.72122584179495</v>
      </c>
      <c r="G40" s="4">
        <v>812.25202719833999</v>
      </c>
      <c r="H40" s="4">
        <v>224.34458467728319</v>
      </c>
      <c r="I40" s="4">
        <f t="shared" si="0"/>
        <v>55</v>
      </c>
    </row>
    <row r="41" spans="2:25" x14ac:dyDescent="0.3">
      <c r="B41" s="2">
        <v>19</v>
      </c>
      <c r="C41" s="4">
        <v>298.14999999999998</v>
      </c>
      <c r="D41" s="5">
        <v>101.325</v>
      </c>
      <c r="E41" s="4">
        <v>104.92011957080643</v>
      </c>
      <c r="F41" s="7">
        <v>0.36719964130372146</v>
      </c>
      <c r="G41" s="4">
        <v>9.3915650980828866E-2</v>
      </c>
      <c r="H41" s="4">
        <v>2.5073905791015251E-5</v>
      </c>
      <c r="I41" s="4">
        <f t="shared" si="0"/>
        <v>25</v>
      </c>
    </row>
    <row r="42" spans="2:25" x14ac:dyDescent="0.3">
      <c r="B42" s="2">
        <v>20</v>
      </c>
      <c r="C42" s="4">
        <v>345.16482465658697</v>
      </c>
      <c r="D42" s="5">
        <v>101.325</v>
      </c>
      <c r="E42" s="4">
        <v>301.56600461702902</v>
      </c>
      <c r="F42" s="7">
        <v>0.97962440845434873</v>
      </c>
      <c r="G42" s="4">
        <v>9.3915650980828866E-2</v>
      </c>
      <c r="H42" s="4">
        <v>14.051465794168879</v>
      </c>
      <c r="I42" s="4">
        <f t="shared" si="0"/>
        <v>72.014824656586995</v>
      </c>
    </row>
  </sheetData>
  <mergeCells count="8">
    <mergeCell ref="S20:T20"/>
    <mergeCell ref="N26:O26"/>
    <mergeCell ref="K2:L2"/>
    <mergeCell ref="K19:L19"/>
    <mergeCell ref="Q2:R2"/>
    <mergeCell ref="Q20:R20"/>
    <mergeCell ref="N2:O2"/>
    <mergeCell ref="N14:O14"/>
  </mergeCell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BA90F-813A-493D-869A-57A3178EDC43}">
  <dimension ref="A1:M26"/>
  <sheetViews>
    <sheetView workbookViewId="0">
      <selection activeCell="K2" sqref="K2:M2"/>
    </sheetView>
  </sheetViews>
  <sheetFormatPr baseColWidth="10" defaultRowHeight="14.4" x14ac:dyDescent="0.3"/>
  <cols>
    <col min="2" max="2" width="22.77734375" bestFit="1" customWidth="1"/>
    <col min="3" max="3" width="12.6640625" bestFit="1" customWidth="1"/>
    <col min="5" max="5" width="14.44140625" bestFit="1" customWidth="1"/>
    <col min="6" max="6" width="12.6640625" bestFit="1" customWidth="1"/>
    <col min="8" max="8" width="12.6640625" bestFit="1" customWidth="1"/>
    <col min="11" max="11" width="14.77734375" bestFit="1" customWidth="1"/>
    <col min="12" max="12" width="15.33203125" bestFit="1" customWidth="1"/>
    <col min="13" max="13" width="22.33203125" bestFit="1" customWidth="1"/>
  </cols>
  <sheetData>
    <row r="1" spans="1:13" x14ac:dyDescent="0.3">
      <c r="A1" s="1" t="s">
        <v>238</v>
      </c>
      <c r="B1" s="1" t="s">
        <v>239</v>
      </c>
      <c r="C1" s="1" t="s">
        <v>202</v>
      </c>
      <c r="E1" s="1" t="s">
        <v>227</v>
      </c>
      <c r="F1" s="1" t="s">
        <v>234</v>
      </c>
      <c r="G1" s="1" t="s">
        <v>235</v>
      </c>
      <c r="H1" s="1" t="s">
        <v>236</v>
      </c>
      <c r="I1" s="1" t="s">
        <v>237</v>
      </c>
      <c r="K1" s="1" t="s">
        <v>240</v>
      </c>
      <c r="L1" s="1" t="s">
        <v>241</v>
      </c>
      <c r="M1" s="1" t="s">
        <v>242</v>
      </c>
    </row>
    <row r="2" spans="1:13" x14ac:dyDescent="0.3">
      <c r="A2" t="s">
        <v>203</v>
      </c>
      <c r="B2">
        <v>4.5058259292768729E-2</v>
      </c>
      <c r="C2">
        <v>38392.512702731183</v>
      </c>
      <c r="E2" t="s">
        <v>66</v>
      </c>
      <c r="F2">
        <v>25032.061802977114</v>
      </c>
      <c r="G2">
        <v>1542.4567100955248</v>
      </c>
      <c r="H2">
        <v>69.500414391355164</v>
      </c>
      <c r="I2">
        <v>99.723123151501454</v>
      </c>
      <c r="K2" s="29">
        <v>0.32664347494249629</v>
      </c>
      <c r="L2" s="29">
        <v>1.8517120877445366</v>
      </c>
      <c r="M2" s="29">
        <v>0.24453052654182419</v>
      </c>
    </row>
    <row r="3" spans="1:13" x14ac:dyDescent="0.3">
      <c r="A3" t="s">
        <v>204</v>
      </c>
      <c r="B3">
        <v>4.5058259292768736E-2</v>
      </c>
      <c r="C3">
        <v>34930.308642619573</v>
      </c>
      <c r="E3" t="s">
        <v>67</v>
      </c>
      <c r="F3">
        <v>8882.6414408299115</v>
      </c>
      <c r="G3">
        <v>2807.373846715212</v>
      </c>
      <c r="H3">
        <v>121.75423588731627</v>
      </c>
      <c r="I3">
        <v>98.647835565443472</v>
      </c>
    </row>
    <row r="4" spans="1:13" x14ac:dyDescent="0.3">
      <c r="A4" t="s">
        <v>205</v>
      </c>
      <c r="B4">
        <v>4.3369441526206309E-2</v>
      </c>
      <c r="C4">
        <v>36050.758599096102</v>
      </c>
      <c r="E4" t="s">
        <v>69</v>
      </c>
      <c r="F4">
        <v>413.1727433514576</v>
      </c>
      <c r="G4">
        <v>2848.3263976414578</v>
      </c>
      <c r="H4">
        <v>696.502753778243</v>
      </c>
      <c r="I4">
        <v>37.233654741424409</v>
      </c>
    </row>
    <row r="5" spans="1:13" x14ac:dyDescent="0.3">
      <c r="A5" t="s">
        <v>206</v>
      </c>
      <c r="B5">
        <v>4.336944152620633E-2</v>
      </c>
      <c r="C5">
        <v>30234.828063157467</v>
      </c>
      <c r="E5" t="s">
        <v>70</v>
      </c>
      <c r="F5">
        <v>95.502802558342736</v>
      </c>
      <c r="G5">
        <v>964.55767849983272</v>
      </c>
      <c r="H5">
        <v>235.86379700352367</v>
      </c>
      <c r="I5">
        <v>28.820889819498024</v>
      </c>
    </row>
    <row r="6" spans="1:13" x14ac:dyDescent="0.3">
      <c r="A6" t="s">
        <v>207</v>
      </c>
      <c r="B6">
        <v>4.336944152620633E-2</v>
      </c>
      <c r="C6">
        <v>14403.380402556113</v>
      </c>
      <c r="E6" t="s">
        <v>59</v>
      </c>
      <c r="F6">
        <v>40.473977963797893</v>
      </c>
      <c r="G6">
        <v>4555.56180201401</v>
      </c>
      <c r="H6">
        <v>197.57217119146574</v>
      </c>
      <c r="I6">
        <v>17.002576226258999</v>
      </c>
    </row>
    <row r="7" spans="1:13" x14ac:dyDescent="0.3">
      <c r="A7" t="s">
        <v>208</v>
      </c>
      <c r="B7">
        <v>4.3369441526206309E-2</v>
      </c>
      <c r="C7">
        <v>11223.418868047633</v>
      </c>
      <c r="E7" t="s">
        <v>60</v>
      </c>
      <c r="F7">
        <v>15.369049891704023</v>
      </c>
      <c r="G7">
        <v>8696.3788936835081</v>
      </c>
      <c r="H7">
        <v>377.15709591934177</v>
      </c>
      <c r="I7">
        <v>3.915420681072892</v>
      </c>
    </row>
    <row r="8" spans="1:13" x14ac:dyDescent="0.3">
      <c r="A8" t="s">
        <v>209</v>
      </c>
      <c r="B8">
        <v>4.3719571166688964E-5</v>
      </c>
      <c r="C8">
        <v>7.9662790632337419</v>
      </c>
      <c r="E8" t="s">
        <v>229</v>
      </c>
      <c r="F8">
        <v>5.4655411715622142</v>
      </c>
      <c r="G8">
        <v>9946.2077370741645</v>
      </c>
      <c r="H8">
        <v>431.36147486053875</v>
      </c>
      <c r="I8">
        <v>1.2511911971947656</v>
      </c>
    </row>
    <row r="9" spans="1:13" x14ac:dyDescent="0.3">
      <c r="A9" t="s">
        <v>210</v>
      </c>
      <c r="B9">
        <v>4.544016457579185E-2</v>
      </c>
      <c r="C9">
        <v>9914.4754036340255</v>
      </c>
      <c r="E9" t="s">
        <v>230</v>
      </c>
      <c r="F9">
        <v>77.924977639318257</v>
      </c>
      <c r="G9">
        <v>1086.7646432466843</v>
      </c>
      <c r="H9">
        <v>1134.3969269456281</v>
      </c>
      <c r="I9">
        <v>6.4277464050273725</v>
      </c>
    </row>
    <row r="10" spans="1:13" x14ac:dyDescent="0.3">
      <c r="A10" t="s">
        <v>211</v>
      </c>
      <c r="B10">
        <v>4.6354911775307393E-2</v>
      </c>
      <c r="C10">
        <v>13109.805988034212</v>
      </c>
      <c r="E10" t="s">
        <v>231</v>
      </c>
      <c r="F10">
        <v>0.2032428542650199</v>
      </c>
      <c r="G10">
        <v>0.88335841987004737</v>
      </c>
      <c r="H10">
        <v>0.21600809953597649</v>
      </c>
      <c r="I10">
        <v>48.47761285272879</v>
      </c>
    </row>
    <row r="11" spans="1:13" x14ac:dyDescent="0.3">
      <c r="A11" t="s">
        <v>212</v>
      </c>
      <c r="B11">
        <v>0.10008769588699151</v>
      </c>
      <c r="C11">
        <v>6542.8302026461652</v>
      </c>
      <c r="E11" t="s">
        <v>232</v>
      </c>
      <c r="F11">
        <v>1.6038117139195283</v>
      </c>
      <c r="G11">
        <v>4665.6811406944789</v>
      </c>
      <c r="H11">
        <v>4870.1753236101495</v>
      </c>
      <c r="I11">
        <v>3.2920452043703807E-2</v>
      </c>
    </row>
    <row r="12" spans="1:13" x14ac:dyDescent="0.3">
      <c r="A12" t="s">
        <v>213</v>
      </c>
      <c r="B12">
        <v>5.6443133065265334E-2</v>
      </c>
      <c r="C12">
        <v>19652.636190680376</v>
      </c>
      <c r="E12" t="s">
        <v>63</v>
      </c>
      <c r="F12">
        <v>6.5098067393561485E-2</v>
      </c>
      <c r="G12">
        <v>0.2664800015417999</v>
      </c>
      <c r="H12">
        <v>1.1557088844770453E-2</v>
      </c>
      <c r="I12">
        <v>84.92327272957634</v>
      </c>
    </row>
    <row r="13" spans="1:13" x14ac:dyDescent="0.3">
      <c r="A13" t="s">
        <v>214</v>
      </c>
      <c r="B13">
        <v>5.0128768442585875E-2</v>
      </c>
      <c r="C13">
        <v>35524.557829245517</v>
      </c>
      <c r="E13" t="s">
        <v>233</v>
      </c>
      <c r="F13">
        <v>38.334090696255963</v>
      </c>
      <c r="G13">
        <v>3748.4156267159824</v>
      </c>
      <c r="H13">
        <v>0.1638791237545851</v>
      </c>
      <c r="I13">
        <v>99.574317491231952</v>
      </c>
    </row>
    <row r="14" spans="1:13" x14ac:dyDescent="0.3">
      <c r="A14" t="s">
        <v>215</v>
      </c>
      <c r="B14">
        <v>4.3369441526206309E-2</v>
      </c>
      <c r="C14">
        <v>2107.1741403798442</v>
      </c>
      <c r="E14" s="28" t="s">
        <v>173</v>
      </c>
      <c r="F14" s="28">
        <v>410.51238807750354</v>
      </c>
      <c r="G14" s="28">
        <v>6406.1012876481363</v>
      </c>
      <c r="H14" s="28">
        <v>1566.4873209488567</v>
      </c>
      <c r="I14" s="28">
        <v>20.76441317635166</v>
      </c>
    </row>
    <row r="15" spans="1:13" x14ac:dyDescent="0.3">
      <c r="A15" t="s">
        <v>216</v>
      </c>
      <c r="B15">
        <v>4.3369441526206309E-2</v>
      </c>
      <c r="C15">
        <v>9116.2447276677867</v>
      </c>
    </row>
    <row r="16" spans="1:13" x14ac:dyDescent="0.3">
      <c r="A16" t="s">
        <v>217</v>
      </c>
      <c r="B16">
        <v>4.3369441526206289E-2</v>
      </c>
      <c r="C16">
        <v>8.0656089136183216</v>
      </c>
    </row>
    <row r="17" spans="1:3" x14ac:dyDescent="0.3">
      <c r="A17" t="s">
        <v>218</v>
      </c>
      <c r="B17">
        <v>4.3719571166701418E-5</v>
      </c>
      <c r="C17">
        <v>8.1307069810118833</v>
      </c>
    </row>
    <row r="18" spans="1:3" x14ac:dyDescent="0.3">
      <c r="A18" t="s">
        <v>228</v>
      </c>
      <c r="B18">
        <v>2E-3</v>
      </c>
      <c r="C18">
        <v>4.7096643699903442E-9</v>
      </c>
    </row>
    <row r="19" spans="1:3" x14ac:dyDescent="0.3">
      <c r="A19" t="s">
        <v>219</v>
      </c>
      <c r="B19">
        <v>29.173223213902457</v>
      </c>
      <c r="C19">
        <v>38.498518618741471</v>
      </c>
    </row>
    <row r="20" spans="1:3" x14ac:dyDescent="0.3">
      <c r="A20" t="s">
        <v>220</v>
      </c>
      <c r="B20">
        <v>1.0438294381354214</v>
      </c>
      <c r="C20">
        <v>15025.281105479558</v>
      </c>
    </row>
    <row r="21" spans="1:3" x14ac:dyDescent="0.3">
      <c r="A21" t="s">
        <v>221</v>
      </c>
      <c r="B21">
        <v>1.0438294381354214</v>
      </c>
      <c r="C21">
        <v>5908.3168544968667</v>
      </c>
    </row>
    <row r="22" spans="1:3" x14ac:dyDescent="0.3">
      <c r="A22" t="s">
        <v>222</v>
      </c>
      <c r="B22">
        <v>59.816844075604649</v>
      </c>
      <c r="C22">
        <v>5909.9206662107863</v>
      </c>
    </row>
    <row r="23" spans="1:3" x14ac:dyDescent="0.3">
      <c r="A23" t="s">
        <v>223</v>
      </c>
      <c r="B23">
        <v>56.786751584263364</v>
      </c>
      <c r="C23">
        <v>5911.6364455538287</v>
      </c>
    </row>
    <row r="24" spans="1:3" x14ac:dyDescent="0.3">
      <c r="A24" t="s">
        <v>224</v>
      </c>
      <c r="B24">
        <v>1.8517120877445366</v>
      </c>
      <c r="C24">
        <v>2279.0193390532122</v>
      </c>
    </row>
    <row r="25" spans="1:3" x14ac:dyDescent="0.3">
      <c r="A25" t="s">
        <v>225</v>
      </c>
      <c r="B25">
        <v>0</v>
      </c>
      <c r="C25">
        <v>0</v>
      </c>
    </row>
    <row r="26" spans="1:3" x14ac:dyDescent="0.3">
      <c r="A26" s="28" t="s">
        <v>226</v>
      </c>
      <c r="B26" s="28">
        <v>0.24453052654182419</v>
      </c>
      <c r="C26" s="28">
        <v>1868.5069509757088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0693F-D387-4367-8A44-8725A6CA7BA7}">
  <dimension ref="A1:AF33"/>
  <sheetViews>
    <sheetView topLeftCell="T1" workbookViewId="0">
      <selection activeCell="U21" sqref="U21"/>
    </sheetView>
  </sheetViews>
  <sheetFormatPr baseColWidth="10" defaultRowHeight="14.4" x14ac:dyDescent="0.3"/>
  <sheetData>
    <row r="1" spans="1:32" x14ac:dyDescent="0.3">
      <c r="B1" t="s">
        <v>130</v>
      </c>
      <c r="C1" t="s">
        <v>37</v>
      </c>
      <c r="D1" t="s">
        <v>38</v>
      </c>
      <c r="E1" t="s">
        <v>39</v>
      </c>
      <c r="F1" t="s">
        <v>131</v>
      </c>
      <c r="G1" t="s">
        <v>132</v>
      </c>
      <c r="H1" t="s">
        <v>133</v>
      </c>
      <c r="I1" t="s">
        <v>134</v>
      </c>
      <c r="J1" t="s">
        <v>193</v>
      </c>
      <c r="K1" t="s">
        <v>194</v>
      </c>
      <c r="L1" t="s">
        <v>195</v>
      </c>
      <c r="M1" t="s">
        <v>135</v>
      </c>
      <c r="N1" t="s">
        <v>136</v>
      </c>
      <c r="O1" t="s">
        <v>137</v>
      </c>
      <c r="P1" t="s">
        <v>138</v>
      </c>
      <c r="Q1" t="s">
        <v>139</v>
      </c>
      <c r="R1" t="s">
        <v>140</v>
      </c>
      <c r="S1" t="s">
        <v>141</v>
      </c>
      <c r="T1" t="s">
        <v>142</v>
      </c>
      <c r="U1" t="s">
        <v>143</v>
      </c>
      <c r="V1" t="s">
        <v>144</v>
      </c>
      <c r="W1" t="s">
        <v>145</v>
      </c>
      <c r="X1" t="s">
        <v>146</v>
      </c>
      <c r="Y1" t="s">
        <v>147</v>
      </c>
      <c r="Z1" t="s">
        <v>148</v>
      </c>
      <c r="AA1" t="s">
        <v>149</v>
      </c>
      <c r="AB1" t="s">
        <v>150</v>
      </c>
      <c r="AC1" t="s">
        <v>151</v>
      </c>
      <c r="AD1" t="s">
        <v>152</v>
      </c>
      <c r="AE1" t="s">
        <v>153</v>
      </c>
      <c r="AF1" t="s">
        <v>190</v>
      </c>
    </row>
    <row r="2" spans="1:32" x14ac:dyDescent="0.3">
      <c r="A2" t="s">
        <v>154</v>
      </c>
      <c r="B2" t="s">
        <v>155</v>
      </c>
      <c r="C2">
        <v>1</v>
      </c>
      <c r="D2">
        <v>-1</v>
      </c>
      <c r="X2">
        <v>-1</v>
      </c>
    </row>
    <row r="3" spans="1:32" x14ac:dyDescent="0.3">
      <c r="A3" t="s">
        <v>176</v>
      </c>
      <c r="B3">
        <v>0</v>
      </c>
      <c r="C3">
        <v>-1</v>
      </c>
      <c r="D3" t="s">
        <v>177</v>
      </c>
    </row>
    <row r="4" spans="1:32" x14ac:dyDescent="0.3">
      <c r="A4" t="s">
        <v>156</v>
      </c>
      <c r="B4" t="s">
        <v>157</v>
      </c>
      <c r="E4">
        <v>1</v>
      </c>
      <c r="F4">
        <v>-1</v>
      </c>
      <c r="Z4">
        <v>-1</v>
      </c>
    </row>
    <row r="5" spans="1:32" x14ac:dyDescent="0.3">
      <c r="A5" t="s">
        <v>187</v>
      </c>
      <c r="B5">
        <v>0</v>
      </c>
      <c r="E5">
        <v>-1</v>
      </c>
      <c r="F5" t="s">
        <v>178</v>
      </c>
    </row>
    <row r="6" spans="1:32" x14ac:dyDescent="0.3">
      <c r="A6" t="s">
        <v>37</v>
      </c>
      <c r="B6" t="s">
        <v>158</v>
      </c>
      <c r="M6">
        <v>1</v>
      </c>
      <c r="N6">
        <v>-1</v>
      </c>
      <c r="AA6">
        <v>1</v>
      </c>
    </row>
    <row r="7" spans="1:32" x14ac:dyDescent="0.3">
      <c r="A7" t="s">
        <v>38</v>
      </c>
      <c r="B7" t="s">
        <v>159</v>
      </c>
      <c r="J7">
        <v>1</v>
      </c>
      <c r="P7">
        <v>-1</v>
      </c>
      <c r="AB7">
        <v>1</v>
      </c>
    </row>
    <row r="8" spans="1:32" x14ac:dyDescent="0.3">
      <c r="A8" t="s">
        <v>59</v>
      </c>
      <c r="B8" t="s">
        <v>160</v>
      </c>
      <c r="F8">
        <v>1</v>
      </c>
      <c r="G8">
        <v>-1</v>
      </c>
      <c r="Q8">
        <v>1</v>
      </c>
      <c r="R8">
        <v>-1</v>
      </c>
    </row>
    <row r="9" spans="1:32" x14ac:dyDescent="0.3">
      <c r="A9" t="s">
        <v>179</v>
      </c>
      <c r="B9">
        <v>0</v>
      </c>
      <c r="F9">
        <v>-1</v>
      </c>
      <c r="G9" t="s">
        <v>181</v>
      </c>
    </row>
    <row r="10" spans="1:32" x14ac:dyDescent="0.3">
      <c r="A10" t="s">
        <v>60</v>
      </c>
      <c r="B10" t="s">
        <v>161</v>
      </c>
      <c r="G10">
        <v>1</v>
      </c>
      <c r="H10">
        <v>-1</v>
      </c>
      <c r="N10">
        <v>1</v>
      </c>
      <c r="O10">
        <v>-1</v>
      </c>
    </row>
    <row r="11" spans="1:32" x14ac:dyDescent="0.3">
      <c r="A11" t="s">
        <v>180</v>
      </c>
      <c r="B11">
        <v>0</v>
      </c>
      <c r="G11">
        <v>-1</v>
      </c>
      <c r="H11" t="s">
        <v>182</v>
      </c>
    </row>
    <row r="12" spans="1:32" x14ac:dyDescent="0.3">
      <c r="A12" t="s">
        <v>183</v>
      </c>
      <c r="B12">
        <v>0</v>
      </c>
      <c r="O12">
        <v>1</v>
      </c>
      <c r="P12">
        <v>1</v>
      </c>
      <c r="Q12">
        <v>-1</v>
      </c>
    </row>
    <row r="13" spans="1:32" x14ac:dyDescent="0.3">
      <c r="A13" t="s">
        <v>162</v>
      </c>
      <c r="B13" t="s">
        <v>163</v>
      </c>
      <c r="K13">
        <v>-1</v>
      </c>
      <c r="L13">
        <v>1</v>
      </c>
    </row>
    <row r="14" spans="1:32" x14ac:dyDescent="0.3">
      <c r="A14" t="s">
        <v>198</v>
      </c>
      <c r="B14">
        <v>0</v>
      </c>
      <c r="K14" t="s">
        <v>199</v>
      </c>
      <c r="L14">
        <v>-1</v>
      </c>
    </row>
    <row r="15" spans="1:32" x14ac:dyDescent="0.3">
      <c r="A15" t="s">
        <v>64</v>
      </c>
      <c r="B15" t="s">
        <v>164</v>
      </c>
      <c r="K15">
        <v>1</v>
      </c>
      <c r="M15">
        <v>-1</v>
      </c>
      <c r="W15">
        <v>-1</v>
      </c>
    </row>
    <row r="16" spans="1:32" x14ac:dyDescent="0.3">
      <c r="A16" t="s">
        <v>184</v>
      </c>
      <c r="B16">
        <v>0</v>
      </c>
      <c r="K16">
        <v>-1</v>
      </c>
      <c r="M16" t="s">
        <v>185</v>
      </c>
    </row>
    <row r="17" spans="1:32" x14ac:dyDescent="0.3">
      <c r="A17" t="s">
        <v>165</v>
      </c>
      <c r="B17" t="s">
        <v>166</v>
      </c>
      <c r="S17">
        <v>1</v>
      </c>
      <c r="T17">
        <v>-1</v>
      </c>
      <c r="AE17">
        <v>-1</v>
      </c>
    </row>
    <row r="18" spans="1:32" x14ac:dyDescent="0.3">
      <c r="A18" t="s">
        <v>186</v>
      </c>
      <c r="B18">
        <v>0</v>
      </c>
      <c r="S18">
        <v>-1</v>
      </c>
      <c r="T18" t="s">
        <v>188</v>
      </c>
    </row>
    <row r="19" spans="1:32" x14ac:dyDescent="0.3">
      <c r="A19" t="s">
        <v>167</v>
      </c>
      <c r="B19" t="s">
        <v>168</v>
      </c>
      <c r="U19">
        <v>1</v>
      </c>
      <c r="V19">
        <v>-1</v>
      </c>
      <c r="AF19">
        <v>1</v>
      </c>
    </row>
    <row r="20" spans="1:32" x14ac:dyDescent="0.3">
      <c r="A20" t="s">
        <v>189</v>
      </c>
      <c r="B20">
        <v>0</v>
      </c>
      <c r="AE20" t="s">
        <v>191</v>
      </c>
      <c r="AF20">
        <v>-1</v>
      </c>
    </row>
    <row r="21" spans="1:32" x14ac:dyDescent="0.3">
      <c r="A21" t="s">
        <v>169</v>
      </c>
      <c r="B21" t="s">
        <v>170</v>
      </c>
      <c r="T21">
        <v>1</v>
      </c>
      <c r="U21">
        <v>-1</v>
      </c>
    </row>
    <row r="22" spans="1:32" x14ac:dyDescent="0.3">
      <c r="A22" t="s">
        <v>175</v>
      </c>
      <c r="B22">
        <v>0</v>
      </c>
      <c r="T22">
        <v>-1</v>
      </c>
      <c r="U22" t="s">
        <v>200</v>
      </c>
    </row>
    <row r="23" spans="1:32" x14ac:dyDescent="0.3">
      <c r="A23" t="s">
        <v>171</v>
      </c>
      <c r="B23" t="s">
        <v>172</v>
      </c>
      <c r="I23">
        <v>1</v>
      </c>
      <c r="L23">
        <v>-1</v>
      </c>
      <c r="S23">
        <v>-1</v>
      </c>
      <c r="V23">
        <v>1</v>
      </c>
    </row>
    <row r="24" spans="1:32" x14ac:dyDescent="0.3">
      <c r="A24" t="s">
        <v>192</v>
      </c>
      <c r="B24">
        <v>0</v>
      </c>
      <c r="I24">
        <v>-1</v>
      </c>
      <c r="K24" t="s">
        <v>196</v>
      </c>
    </row>
    <row r="25" spans="1:32" x14ac:dyDescent="0.3">
      <c r="A25" t="s">
        <v>173</v>
      </c>
      <c r="B25" t="s">
        <v>174</v>
      </c>
      <c r="W25">
        <v>1</v>
      </c>
      <c r="Y25">
        <v>1</v>
      </c>
      <c r="AC25">
        <v>-1</v>
      </c>
      <c r="AD25">
        <v>-1</v>
      </c>
    </row>
    <row r="32" spans="1:32" x14ac:dyDescent="0.3">
      <c r="A32" t="s">
        <v>197</v>
      </c>
    </row>
    <row r="33" spans="1:1" x14ac:dyDescent="0.3">
      <c r="A33" t="s">
        <v>201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T</vt:lpstr>
      <vt:lpstr>rc</vt:lpstr>
      <vt:lpstr>nt</vt:lpstr>
      <vt:lpstr>nc</vt:lpstr>
      <vt:lpstr>Energy_Exergy</vt:lpstr>
      <vt:lpstr>Exergoeconomico</vt:lpstr>
      <vt:lpstr>EXERGO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Iglesias</dc:creator>
  <cp:lastModifiedBy>Adrian Iglesias</cp:lastModifiedBy>
  <dcterms:created xsi:type="dcterms:W3CDTF">2026-01-05T23:58:20Z</dcterms:created>
  <dcterms:modified xsi:type="dcterms:W3CDTF">2026-04-09T01:15:51Z</dcterms:modified>
</cp:coreProperties>
</file>