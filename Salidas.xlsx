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ih0\Documents\CODIGO\tes2\"/>
    </mc:Choice>
  </mc:AlternateContent>
  <xr:revisionPtr revIDLastSave="0" documentId="13_ncr:1_{DC0FCD8C-1AF2-4283-B340-DCB0CD2F1CB1}" xr6:coauthVersionLast="47" xr6:coauthVersionMax="47" xr10:uidLastSave="{00000000-0000-0000-0000-000000000000}"/>
  <bookViews>
    <workbookView xWindow="-108" yWindow="-108" windowWidth="23256" windowHeight="13176" xr2:uid="{C4CE93A3-0861-4D2C-B953-37868A8DFB1C}"/>
  </bookViews>
  <sheets>
    <sheet name="T" sheetId="3" r:id="rId1"/>
    <sheet name="rc" sheetId="6" r:id="rId2"/>
    <sheet name="nt" sheetId="7" r:id="rId3"/>
    <sheet name="nc" sheetId="8" r:id="rId4"/>
    <sheet name="Energy_Exergy" sheetId="2" r:id="rId5"/>
    <sheet name="Exergoeconomico" sheetId="5" r:id="rId6"/>
    <sheet name="EXERGO" sheetId="4" r:id="rId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3" i="2" l="1"/>
  <c r="I44" i="2"/>
  <c r="V18" i="2"/>
  <c r="V23" i="2"/>
  <c r="V22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3" i="2"/>
</calcChain>
</file>

<file path=xl/sharedStrings.xml><?xml version="1.0" encoding="utf-8"?>
<sst xmlns="http://schemas.openxmlformats.org/spreadsheetml/2006/main" count="402" uniqueCount="256">
  <si>
    <t>T [°C]</t>
  </si>
  <si>
    <t>n_ex [%]</t>
  </si>
  <si>
    <t>n_th [%]</t>
  </si>
  <si>
    <t>n_en_PEM [%]</t>
  </si>
  <si>
    <t>n_ex_PEM [%]</t>
  </si>
  <si>
    <t>T_in_PEM [°C]</t>
  </si>
  <si>
    <t>m_H2 [kg/h]</t>
  </si>
  <si>
    <t>m_H2O_in [kg/h]</t>
  </si>
  <si>
    <t>XD Compresor 1 [kW]</t>
  </si>
  <si>
    <t>XD Compresor 2 [kW]</t>
  </si>
  <si>
    <t>XD Turbina 1 [kW]</t>
  </si>
  <si>
    <t>XD Turbina 2 [kW]</t>
  </si>
  <si>
    <t>XD HTR [kW]</t>
  </si>
  <si>
    <t>XD LTR [kW]</t>
  </si>
  <si>
    <t>XD Loss field [kW]</t>
  </si>
  <si>
    <t>XD Cooler [kW]</t>
  </si>
  <si>
    <t>XD Pérdida aire [kW]</t>
  </si>
  <si>
    <t>XD Evaporador 1 [kW]</t>
  </si>
  <si>
    <t>XD Condensador [kW]</t>
  </si>
  <si>
    <t>XD Pérdida agua [kW]</t>
  </si>
  <si>
    <t>Exergía solar aportada [kW]</t>
  </si>
  <si>
    <t>Exergía destruida total [kW]</t>
  </si>
  <si>
    <t>State</t>
  </si>
  <si>
    <t>T [K]</t>
  </si>
  <si>
    <t>P [kPa]</t>
  </si>
  <si>
    <t>h [kJ/kg]</t>
  </si>
  <si>
    <t>s [kJ/kg-K]</t>
  </si>
  <si>
    <t>m [kg/s]</t>
  </si>
  <si>
    <t>16vs</t>
  </si>
  <si>
    <t>6AI</t>
  </si>
  <si>
    <t>6AO1</t>
  </si>
  <si>
    <t>6AO2</t>
  </si>
  <si>
    <t>6AO3</t>
  </si>
  <si>
    <t>6AO</t>
  </si>
  <si>
    <t>6BI</t>
  </si>
  <si>
    <t>15ls</t>
  </si>
  <si>
    <t>15vs</t>
  </si>
  <si>
    <t>C1</t>
  </si>
  <si>
    <t>C2</t>
  </si>
  <si>
    <t>C3</t>
  </si>
  <si>
    <t>Componentes</t>
  </si>
  <si>
    <t>Valor</t>
  </si>
  <si>
    <t>Q_Heater</t>
  </si>
  <si>
    <t>Q_Re-heater</t>
  </si>
  <si>
    <t>Q_HTR</t>
  </si>
  <si>
    <t>Q_LTR</t>
  </si>
  <si>
    <t>Q_Cooler</t>
  </si>
  <si>
    <t>Q_total</t>
  </si>
  <si>
    <t>Q_Evap_etapa1</t>
  </si>
  <si>
    <t>Q_Evap_etapa2</t>
  </si>
  <si>
    <t>Q_Evap_etapa3</t>
  </si>
  <si>
    <t>Q_Evap_total</t>
  </si>
  <si>
    <t>Q_Cond_etapa1</t>
  </si>
  <si>
    <t>Q_Cond_total</t>
  </si>
  <si>
    <t>Q_Cond_etapa2</t>
  </si>
  <si>
    <t>Q_HE</t>
  </si>
  <si>
    <t>Calor y Exergias [ MW]</t>
  </si>
  <si>
    <t>x [kJ/kgK]</t>
  </si>
  <si>
    <t>Areas [m2]</t>
  </si>
  <si>
    <t>HTR</t>
  </si>
  <si>
    <t>LTR</t>
  </si>
  <si>
    <t>Evaporador</t>
  </si>
  <si>
    <t>Condensador</t>
  </si>
  <si>
    <t>Cooler</t>
  </si>
  <si>
    <t>HE</t>
  </si>
  <si>
    <t>Potencias [ kW]</t>
  </si>
  <si>
    <t>Turbina 1</t>
  </si>
  <si>
    <t>Turbina 2</t>
  </si>
  <si>
    <t>Turbina 3</t>
  </si>
  <si>
    <t>Compresor 1</t>
  </si>
  <si>
    <t>Compresor 2</t>
  </si>
  <si>
    <t>Bomba 1</t>
  </si>
  <si>
    <t>W_SBCR</t>
  </si>
  <si>
    <t>W_ORC</t>
  </si>
  <si>
    <t>W_ORC + SBCR</t>
  </si>
  <si>
    <t>Eficiencias [%]</t>
  </si>
  <si>
    <t>Parametros Field solar</t>
  </si>
  <si>
    <t>nt</t>
  </si>
  <si>
    <t>Fi</t>
  </si>
  <si>
    <t>nfield</t>
  </si>
  <si>
    <t>nth_ORC</t>
  </si>
  <si>
    <t>nth_SBCR</t>
  </si>
  <si>
    <t>nth_PEM</t>
  </si>
  <si>
    <t>nth_ciclo</t>
  </si>
  <si>
    <t>n_ciclo sin PEM</t>
  </si>
  <si>
    <t>nex_ORC</t>
  </si>
  <si>
    <t>nex_SBCR</t>
  </si>
  <si>
    <t>nex_PEM</t>
  </si>
  <si>
    <t>nex_ciclo</t>
  </si>
  <si>
    <t>nex_ciclo_2</t>
  </si>
  <si>
    <t>W Neto [MW]</t>
  </si>
  <si>
    <t>n_ciclo sin PEM[%]</t>
  </si>
  <si>
    <t>XD Turbina 3 [kW]</t>
  </si>
  <si>
    <t>XD Loss Solar receiver [kW]</t>
  </si>
  <si>
    <t>XD CSP [kW]</t>
  </si>
  <si>
    <t>XD Bomba 2 [kW]</t>
  </si>
  <si>
    <t>XD HE [kW]</t>
  </si>
  <si>
    <t>W_Rankine [MW]</t>
  </si>
  <si>
    <t>Y.Evap</t>
  </si>
  <si>
    <t>Y.Cond</t>
  </si>
  <si>
    <t>Y.HTR</t>
  </si>
  <si>
    <t>Y.HE</t>
  </si>
  <si>
    <t>Y.T1</t>
  </si>
  <si>
    <t>Y.T2</t>
  </si>
  <si>
    <t>Y.Cooler</t>
  </si>
  <si>
    <t>Y.LTR</t>
  </si>
  <si>
    <t>Y.T3</t>
  </si>
  <si>
    <t>Y.C1</t>
  </si>
  <si>
    <t>Y.C2</t>
  </si>
  <si>
    <t>Y.B2</t>
  </si>
  <si>
    <t xml:space="preserve">Y.wf </t>
  </si>
  <si>
    <t>Y.co2</t>
  </si>
  <si>
    <t>Y.CSP</t>
  </si>
  <si>
    <t>Yom total</t>
  </si>
  <si>
    <t>Yco total</t>
  </si>
  <si>
    <t>Yde total</t>
  </si>
  <si>
    <t>Impacto por componente [kgCO2-eq]</t>
  </si>
  <si>
    <t>Impacto por fases [kgCO2-eq]</t>
  </si>
  <si>
    <t>EWR</t>
  </si>
  <si>
    <t>EEF</t>
  </si>
  <si>
    <t>ESI</t>
  </si>
  <si>
    <t>XD PEM [kW]</t>
  </si>
  <si>
    <t>Y.PEM</t>
  </si>
  <si>
    <t>Y total [kgCO2-eq/kWh]</t>
  </si>
  <si>
    <t>n_ex2 [%]</t>
  </si>
  <si>
    <t>Y PEM [kgCO2-eq/kgH2]</t>
  </si>
  <si>
    <t>Yom PEM</t>
  </si>
  <si>
    <t>Yco PEM</t>
  </si>
  <si>
    <t>Yde PEM</t>
  </si>
  <si>
    <t>Z</t>
  </si>
  <si>
    <t>C4</t>
  </si>
  <si>
    <t xml:space="preserve">C5 </t>
  </si>
  <si>
    <t>C6</t>
  </si>
  <si>
    <t>C6AI</t>
  </si>
  <si>
    <t>C7</t>
  </si>
  <si>
    <t>C8</t>
  </si>
  <si>
    <t>C9</t>
  </si>
  <si>
    <t>C10</t>
  </si>
  <si>
    <t>C11</t>
  </si>
  <si>
    <t>C12</t>
  </si>
  <si>
    <t>C15</t>
  </si>
  <si>
    <t>C16</t>
  </si>
  <si>
    <t>C17</t>
  </si>
  <si>
    <t>C18</t>
  </si>
  <si>
    <t>C20</t>
  </si>
  <si>
    <t>CWT1</t>
  </si>
  <si>
    <t>CNETO</t>
  </si>
  <si>
    <t>CWT2</t>
  </si>
  <si>
    <t>CWC1</t>
  </si>
  <si>
    <t>CWC2</t>
  </si>
  <si>
    <t>CH2</t>
  </si>
  <si>
    <t>CO2</t>
  </si>
  <si>
    <t>CWT3</t>
  </si>
  <si>
    <t>T1</t>
  </si>
  <si>
    <t>"-ZT1"</t>
  </si>
  <si>
    <t>T2</t>
  </si>
  <si>
    <t>"-ZT2"</t>
  </si>
  <si>
    <t>"-ZC1"</t>
  </si>
  <si>
    <t>"-ZC2"</t>
  </si>
  <si>
    <t>"-ZHTR"</t>
  </si>
  <si>
    <t>"-ZLTR"</t>
  </si>
  <si>
    <t>COOLER</t>
  </si>
  <si>
    <t>"-ZCOOLER"</t>
  </si>
  <si>
    <t>"-ZHE"</t>
  </si>
  <si>
    <t>T3</t>
  </si>
  <si>
    <t>"-ZT3"</t>
  </si>
  <si>
    <t>B2</t>
  </si>
  <si>
    <t>"-ZB2"</t>
  </si>
  <si>
    <t>COND</t>
  </si>
  <si>
    <t>"-ZCOND"</t>
  </si>
  <si>
    <t>EVAP</t>
  </si>
  <si>
    <t>"-ZEVAP"</t>
  </si>
  <si>
    <t>PEM</t>
  </si>
  <si>
    <t>"-ZPEM"</t>
  </si>
  <si>
    <t>AUX</t>
  </si>
  <si>
    <t>AUX T1</t>
  </si>
  <si>
    <t>E1/E2</t>
  </si>
  <si>
    <t>E3/E4</t>
  </si>
  <si>
    <t>AUX HTR</t>
  </si>
  <si>
    <t>AUX LTR</t>
  </si>
  <si>
    <t>E4/E5</t>
  </si>
  <si>
    <t>E5/E6</t>
  </si>
  <si>
    <t>AUX LTR 2</t>
  </si>
  <si>
    <t>AUX HE</t>
  </si>
  <si>
    <t>E6AO/E7</t>
  </si>
  <si>
    <t>AUX T3</t>
  </si>
  <si>
    <t>AUX T2</t>
  </si>
  <si>
    <t>E15/E16</t>
  </si>
  <si>
    <t>AUX B2</t>
  </si>
  <si>
    <t>WB2</t>
  </si>
  <si>
    <t>WB2/WT3</t>
  </si>
  <si>
    <t>AUX EVAP</t>
  </si>
  <si>
    <t>C6BI</t>
  </si>
  <si>
    <t>C6AO</t>
  </si>
  <si>
    <t>C6AO3</t>
  </si>
  <si>
    <t>E6AI/E6AO3</t>
  </si>
  <si>
    <t>30 incognitas</t>
  </si>
  <si>
    <t>AUX COOLER</t>
  </si>
  <si>
    <t>E6AO3/E6AO</t>
  </si>
  <si>
    <t>E16/E17</t>
  </si>
  <si>
    <t>24 ecuaciones</t>
  </si>
  <si>
    <t>Cdot (USD/h)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</si>
  <si>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</si>
  <si>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</si>
  <si>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</si>
  <si>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</si>
  <si>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</si>
  <si>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</si>
  <si>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</si>
  <si>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</si>
  <si>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</si>
  <si>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</si>
  <si>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</si>
  <si>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</si>
  <si>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c6BI</t>
  </si>
  <si>
    <t>c6AI</t>
  </si>
  <si>
    <t>c6AO3</t>
  </si>
  <si>
    <t>c6AO</t>
  </si>
  <si>
    <t>c20</t>
  </si>
  <si>
    <t>c15</t>
  </si>
  <si>
    <t>c16</t>
  </si>
  <si>
    <t>c17</t>
  </si>
  <si>
    <t>c18</t>
  </si>
  <si>
    <t>cH2</t>
  </si>
  <si>
    <t>cO2</t>
  </si>
  <si>
    <t>cel</t>
  </si>
  <si>
    <t>Componente</t>
  </si>
  <si>
    <t>c19</t>
  </si>
  <si>
    <t>Turbina ORC</t>
  </si>
  <si>
    <t>Bomba ORC</t>
  </si>
  <si>
    <t>HE-PEM</t>
  </si>
  <si>
    <t>Zdot (USD/h)</t>
  </si>
  <si>
    <t>ED (kW)</t>
  </si>
  <si>
    <t>CD (USD/h)</t>
  </si>
  <si>
    <t>f (%)</t>
  </si>
  <si>
    <t>Fluido</t>
  </si>
  <si>
    <t>Costo Unit. (USD/kWh_ex)</t>
  </si>
  <si>
    <t>LCOEn sistema [USD/kWh]</t>
  </si>
  <si>
    <t>c_H2 [USD/kWh_ex]</t>
  </si>
  <si>
    <t>c_el_bus interno [USD/kWh_ex]</t>
  </si>
  <si>
    <t>rc</t>
  </si>
  <si>
    <t>nc</t>
  </si>
  <si>
    <t>Y TOTAL</t>
  </si>
  <si>
    <t>LCOEn</t>
  </si>
  <si>
    <t>LCOH</t>
  </si>
  <si>
    <t>c el [USD/kWh]</t>
  </si>
  <si>
    <t>18r</t>
  </si>
  <si>
    <t>16r</t>
  </si>
  <si>
    <t>Q_regen</t>
  </si>
  <si>
    <t>Regenerador</t>
  </si>
  <si>
    <t>Y.regen</t>
  </si>
  <si>
    <t>c16r</t>
  </si>
  <si>
    <t>c18r</t>
  </si>
  <si>
    <t>Evaporador RORC</t>
  </si>
  <si>
    <t>Regenerador RORC</t>
  </si>
  <si>
    <t>Condensador RORC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</si>
</sst>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000"/>
    <numFmt numFmtId="167" formatCode="0.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2" fillId="2" borderId="3" xfId="0" applyFont="1" applyFill="1" applyBorder="1" applyAlignment="1">
      <alignment horizontal="center"/>
    </xf>
    <xf numFmtId="0" fontId="2" fillId="0" borderId="0" xfId="0" applyFont="1"/>
    <xf numFmtId="2" fontId="3" fillId="0" borderId="0" xfId="0" applyNumberFormat="1" applyFont="1"/>
    <xf numFmtId="0" fontId="2" fillId="0" borderId="3" xfId="0" applyFont="1" applyBorder="1"/>
    <xf numFmtId="2" fontId="3" fillId="0" borderId="3" xfId="0" applyNumberFormat="1" applyFont="1" applyBorder="1"/>
    <xf numFmtId="0" fontId="1" fillId="0" borderId="0" xfId="0" applyFont="1"/>
    <xf numFmtId="0" fontId="1" fillId="0" borderId="3" xfId="0" applyFont="1" applyBorder="1"/>
    <xf numFmtId="2" fontId="0" fillId="0" borderId="3" xfId="0" applyNumberFormat="1" applyBorder="1"/>
    <xf numFmtId="165" fontId="0" fillId="0" borderId="3" xfId="0" applyNumberFormat="1" applyBorder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0" xfId="0" applyFont="1" applyFill="1"/>
    <xf numFmtId="0" fontId="0" fillId="3" borderId="0" xfId="0" applyFill="1"/>
    <xf numFmtId="2" fontId="0" fillId="3" borderId="0" xfId="1" applyNumberFormat="1" applyFont="1" applyFill="1"/>
    <xf numFmtId="0" fontId="0" fillId="0" borderId="3" xfId="0" applyBorder="1"/>
    <xf numFmtId="0" fontId="0" fillId="0" borderId="1" xfId="0" applyBorder="1"/>
    <xf numFmtId="9" fontId="0" fillId="0" borderId="0" xfId="1" applyFont="1"/>
    <xf numFmtId="166" fontId="0" fillId="0" borderId="0" xfId="1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0" xfId="0" applyFont="1" applyFill="1"/>
    <xf numFmtId="2" fontId="2" fillId="3" borderId="0" xfId="0" applyNumberFormat="1" applyFont="1" applyFill="1"/>
    <xf numFmtId="167" fontId="0" fillId="0" borderId="3" xfId="0" applyNumberFormat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748145</xdr:colOff>
      <xdr:row>30</xdr:row>
      <xdr:rowOff>27709</xdr:rowOff>
    </xdr:from>
    <xdr:to>
      <xdr:col>19</xdr:col>
      <xdr:colOff>518172</xdr:colOff>
      <xdr:row>57</xdr:row>
      <xdr:rowOff>102952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9FF9945-73F5-ECD6-453A-B89521C4E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4319" y="5593622"/>
          <a:ext cx="10358514" cy="50845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889D7-F248-4C3B-B68C-D47001A5CC86}">
  <dimension ref="B2:V38"/>
  <sheetViews>
    <sheetView tabSelected="1" topLeftCell="A2" zoomScale="96" zoomScaleNormal="85" workbookViewId="0">
      <selection activeCell="B29" sqref="B29:K38"/>
    </sheetView>
  </sheetViews>
  <sheetFormatPr baseColWidth="10" defaultRowHeight="14.4" x14ac:dyDescent="0.3"/>
  <cols>
    <col min="1" max="1" width="11.5546875" style="16"/>
    <col min="2" max="2" width="5.5546875" style="16" bestFit="1" customWidth="1"/>
    <col min="3" max="4" width="18.6640625" style="16" bestFit="1" customWidth="1"/>
    <col min="5" max="5" width="16.44140625" style="16" bestFit="1" customWidth="1"/>
    <col min="6" max="6" width="20.5546875" style="16" bestFit="1" customWidth="1"/>
    <col min="7" max="7" width="20.88671875" style="16" bestFit="1" customWidth="1"/>
    <col min="8" max="8" width="12.77734375" style="16" bestFit="1" customWidth="1"/>
    <col min="9" max="9" width="12.6640625" style="16" bestFit="1" customWidth="1"/>
    <col min="10" max="10" width="23.44140625" style="16" bestFit="1" customWidth="1"/>
    <col min="11" max="11" width="15.6640625" style="16" bestFit="1" customWidth="1"/>
    <col min="12" max="12" width="14.88671875" style="16" bestFit="1" customWidth="1"/>
    <col min="13" max="13" width="13.5546875" style="16" bestFit="1" customWidth="1"/>
    <col min="14" max="14" width="17.88671875" style="16" bestFit="1" customWidth="1"/>
    <col min="15" max="16" width="19.109375" style="16" bestFit="1" customWidth="1"/>
    <col min="17" max="17" width="19" style="16" bestFit="1" customWidth="1"/>
    <col min="18" max="19" width="18.6640625" style="16" bestFit="1" customWidth="1"/>
    <col min="20" max="22" width="23.88671875" style="16" bestFit="1" customWidth="1"/>
    <col min="23" max="26" width="12" style="16" bestFit="1" customWidth="1"/>
    <col min="27" max="27" width="2" style="16" bestFit="1" customWidth="1"/>
    <col min="28" max="28" width="12" style="16" bestFit="1" customWidth="1"/>
    <col min="29" max="29" width="12.6640625" style="16" bestFit="1" customWidth="1"/>
    <col min="30" max="31" width="12" style="16" bestFit="1" customWidth="1"/>
    <col min="32" max="16384" width="11.5546875" style="16"/>
  </cols>
  <sheetData>
    <row r="2" spans="2:22" x14ac:dyDescent="0.3">
      <c r="B2" s="17" t="s">
        <v>0</v>
      </c>
      <c r="C2" s="17" t="s">
        <v>90</v>
      </c>
      <c r="D2" s="17" t="s">
        <v>97</v>
      </c>
      <c r="E2" s="17" t="s">
        <v>91</v>
      </c>
      <c r="F2" s="17" t="s">
        <v>1</v>
      </c>
      <c r="G2" s="17" t="s">
        <v>2</v>
      </c>
      <c r="H2" s="17" t="s">
        <v>3</v>
      </c>
      <c r="I2" s="17" t="s">
        <v>4</v>
      </c>
      <c r="J2" s="17" t="s">
        <v>5</v>
      </c>
      <c r="K2" s="17" t="s">
        <v>6</v>
      </c>
      <c r="L2" s="17" t="s">
        <v>7</v>
      </c>
    </row>
    <row r="3" spans="2:22" x14ac:dyDescent="0.3">
      <c r="B3" s="18">
        <v>500</v>
      </c>
      <c r="C3" s="18">
        <v>79.817560813786429</v>
      </c>
      <c r="D3" s="16">
        <v>5.747836556425975</v>
      </c>
      <c r="E3" s="18">
        <v>44.197489238670407</v>
      </c>
      <c r="F3" s="18">
        <v>21.677171694785553</v>
      </c>
      <c r="G3" s="18">
        <v>41.618252958803971</v>
      </c>
      <c r="H3" s="18">
        <v>18.903462401075426</v>
      </c>
      <c r="I3" s="18">
        <v>18.48639482005732</v>
      </c>
      <c r="J3" s="18">
        <v>77.61995220919249</v>
      </c>
      <c r="K3" s="18">
        <v>32.670285338064971</v>
      </c>
      <c r="L3" s="16">
        <v>291.96397506058662</v>
      </c>
    </row>
    <row r="4" spans="2:22" x14ac:dyDescent="0.3">
      <c r="B4" s="16">
        <v>550</v>
      </c>
      <c r="C4" s="16">
        <v>89.81986854859457</v>
      </c>
      <c r="D4" s="16">
        <v>5.9780007016897558</v>
      </c>
      <c r="E4" s="16">
        <v>46.695266271232683</v>
      </c>
      <c r="F4" s="16">
        <v>22.536994145078911</v>
      </c>
      <c r="G4" s="16">
        <v>44.168426973361456</v>
      </c>
      <c r="H4" s="16">
        <v>18.63680709238654</v>
      </c>
      <c r="I4" s="16">
        <v>18.225175204901593</v>
      </c>
      <c r="J4" s="16">
        <v>77.939707184260271</v>
      </c>
      <c r="K4" s="16">
        <v>33.498370195705569</v>
      </c>
      <c r="L4" s="16">
        <v>299.36430671433357</v>
      </c>
    </row>
    <row r="5" spans="2:22" x14ac:dyDescent="0.3">
      <c r="B5" s="16">
        <v>600</v>
      </c>
      <c r="C5" s="16">
        <v>99.679334582948613</v>
      </c>
      <c r="D5" s="16">
        <v>6.2111932846844748</v>
      </c>
      <c r="E5" s="16">
        <v>48.86377187044944</v>
      </c>
      <c r="F5" s="16">
        <v>23.096140404949921</v>
      </c>
      <c r="G5" s="16">
        <v>46.38038734333562</v>
      </c>
      <c r="H5" s="16">
        <v>18.381896459287887</v>
      </c>
      <c r="I5" s="16">
        <v>17.975500010392771</v>
      </c>
      <c r="J5" s="16">
        <v>78.285373523673968</v>
      </c>
      <c r="K5" s="16">
        <v>34.328266754455306</v>
      </c>
      <c r="L5" s="16">
        <v>306.78082896611096</v>
      </c>
    </row>
    <row r="6" spans="2:22" x14ac:dyDescent="0.3">
      <c r="B6" s="16">
        <v>650</v>
      </c>
      <c r="C6" s="16">
        <v>109.4252013288348</v>
      </c>
      <c r="D6" s="16">
        <v>6.4473440004104017</v>
      </c>
      <c r="E6" s="16">
        <v>50.766607886856718</v>
      </c>
      <c r="F6" s="16">
        <v>23.379233392080014</v>
      </c>
      <c r="G6" s="16">
        <v>48.319628871892832</v>
      </c>
      <c r="H6" s="16">
        <v>18.138196399702615</v>
      </c>
      <c r="I6" s="16">
        <v>17.736842945242444</v>
      </c>
      <c r="J6" s="16">
        <v>78.657618951805773</v>
      </c>
      <c r="K6" s="16">
        <v>35.16033473864286</v>
      </c>
      <c r="L6" s="16">
        <v>314.21675655811759</v>
      </c>
    </row>
    <row r="7" spans="2:22" x14ac:dyDescent="0.3">
      <c r="B7" s="16">
        <v>700</v>
      </c>
      <c r="C7" s="16">
        <v>119.07911442755226</v>
      </c>
      <c r="D7" s="16">
        <v>6.6863221481329127</v>
      </c>
      <c r="E7" s="16">
        <v>52.451199641588154</v>
      </c>
      <c r="F7" s="16">
        <v>23.400730661809668</v>
      </c>
      <c r="G7" s="16">
        <v>50.034982828728317</v>
      </c>
      <c r="H7" s="16">
        <v>17.905265068043892</v>
      </c>
      <c r="I7" s="16">
        <v>17.508768368073106</v>
      </c>
      <c r="J7" s="16">
        <v>79.056980765670005</v>
      </c>
      <c r="K7" s="16">
        <v>35.994724488327527</v>
      </c>
      <c r="L7" s="16">
        <v>321.67343303176642</v>
      </c>
    </row>
    <row r="8" spans="2:22" x14ac:dyDescent="0.3">
      <c r="B8" s="16">
        <v>750</v>
      </c>
      <c r="C8" s="16">
        <v>128.65749758364126</v>
      </c>
      <c r="D8" s="16">
        <v>6.9279630407328954</v>
      </c>
      <c r="E8" s="16">
        <v>53.9538380140431</v>
      </c>
      <c r="F8" s="16">
        <v>23.167877476540312</v>
      </c>
      <c r="G8" s="16">
        <v>51.563810076417916</v>
      </c>
      <c r="H8" s="16">
        <v>17.682710397463307</v>
      </c>
      <c r="I8" s="16">
        <v>17.290889626597831</v>
      </c>
      <c r="J8" s="16">
        <v>79.483884244625642</v>
      </c>
      <c r="K8" s="16">
        <v>36.831475485488056</v>
      </c>
      <c r="L8" s="16">
        <v>329.15121122497538</v>
      </c>
    </row>
    <row r="9" spans="2:22" x14ac:dyDescent="0.3">
      <c r="B9" s="16">
        <v>800.00000000000011</v>
      </c>
      <c r="C9" s="16">
        <v>138.17310399416084</v>
      </c>
      <c r="D9" s="16">
        <v>7.1720857262984268</v>
      </c>
      <c r="E9" s="16">
        <v>55.302895315550607</v>
      </c>
      <c r="F9" s="16">
        <v>22.682590705779543</v>
      </c>
      <c r="G9" s="16">
        <v>52.935313208739778</v>
      </c>
      <c r="H9" s="16">
        <v>17.470165800587704</v>
      </c>
      <c r="I9" s="16">
        <v>17.082845227237385</v>
      </c>
      <c r="J9" s="16">
        <v>79.938657610626422</v>
      </c>
      <c r="K9" s="16">
        <v>37.670578278111229</v>
      </c>
      <c r="L9" s="16">
        <v>336.65000666810113</v>
      </c>
    </row>
    <row r="10" spans="2:22" x14ac:dyDescent="0.3">
      <c r="B10" s="16">
        <v>850.00000000000011</v>
      </c>
      <c r="C10" s="16">
        <v>147.63591018797939</v>
      </c>
      <c r="D10" s="16">
        <v>7.4185008301883553</v>
      </c>
      <c r="E10" s="16">
        <v>56.520932003665223</v>
      </c>
      <c r="F10" s="16">
        <v>21.942697476803939</v>
      </c>
      <c r="G10" s="16">
        <v>54.172707166781088</v>
      </c>
      <c r="H10" s="16">
        <v>17.267280674638158</v>
      </c>
      <c r="I10" s="16">
        <v>16.884289522133408</v>
      </c>
      <c r="J10" s="16">
        <v>80.421544773610378</v>
      </c>
      <c r="K10" s="16">
        <v>38.512000313741446</v>
      </c>
      <c r="L10" s="16">
        <v>344.16952845017568</v>
      </c>
    </row>
    <row r="11" spans="2:22" x14ac:dyDescent="0.3">
      <c r="B11" s="19">
        <v>900.00000000000011</v>
      </c>
      <c r="C11" s="19">
        <v>157.05390229949612</v>
      </c>
      <c r="D11" s="35">
        <v>7.6670200718972215</v>
      </c>
      <c r="E11" s="19">
        <v>57.626171655998625</v>
      </c>
      <c r="F11" s="19">
        <v>20.942799035421363</v>
      </c>
      <c r="G11" s="19">
        <v>55.294738262079335</v>
      </c>
      <c r="H11" s="19">
        <v>17.073711247972792</v>
      </c>
      <c r="I11" s="19">
        <v>16.694883727410044</v>
      </c>
      <c r="J11" s="19">
        <v>80.932712853176668</v>
      </c>
      <c r="K11" s="19">
        <v>39.35571409337534</v>
      </c>
      <c r="L11" s="19">
        <v>351.70953082133019</v>
      </c>
    </row>
    <row r="12" spans="2:22" x14ac:dyDescent="0.3">
      <c r="B12" s="16">
        <v>800.00000000000011</v>
      </c>
      <c r="C12" s="16">
        <v>138.17310399416084</v>
      </c>
      <c r="D12" s="16">
        <v>7.1720857262984268</v>
      </c>
      <c r="E12" s="16">
        <v>55.302895315550607</v>
      </c>
      <c r="F12" s="16">
        <v>22.682590705779543</v>
      </c>
      <c r="G12" s="16">
        <v>52.935313208739778</v>
      </c>
      <c r="H12" s="16">
        <v>17.470165800587704</v>
      </c>
      <c r="I12" s="16">
        <v>17.082845227237385</v>
      </c>
      <c r="J12" s="16">
        <v>79.938657610626422</v>
      </c>
      <c r="K12" s="16">
        <v>37.670578278111229</v>
      </c>
      <c r="L12" s="16">
        <v>336.65000666810113</v>
      </c>
    </row>
    <row r="15" spans="2:22" x14ac:dyDescent="0.3">
      <c r="B15" s="17" t="s">
        <v>0</v>
      </c>
      <c r="C15" s="17" t="s">
        <v>8</v>
      </c>
      <c r="D15" s="17" t="s">
        <v>9</v>
      </c>
      <c r="E15" s="17" t="s">
        <v>10</v>
      </c>
      <c r="F15" s="17" t="s">
        <v>11</v>
      </c>
      <c r="G15" s="17" t="s">
        <v>92</v>
      </c>
      <c r="H15" s="17" t="s">
        <v>12</v>
      </c>
      <c r="I15" s="17" t="s">
        <v>13</v>
      </c>
      <c r="J15" s="17" t="s">
        <v>93</v>
      </c>
      <c r="K15" s="17" t="s">
        <v>14</v>
      </c>
      <c r="L15" s="17" t="s">
        <v>94</v>
      </c>
      <c r="M15" s="17" t="s">
        <v>15</v>
      </c>
      <c r="N15" s="17" t="s">
        <v>16</v>
      </c>
      <c r="O15" s="17" t="s">
        <v>17</v>
      </c>
      <c r="P15" s="17" t="s">
        <v>18</v>
      </c>
      <c r="Q15" s="17" t="s">
        <v>95</v>
      </c>
      <c r="R15" s="17" t="s">
        <v>19</v>
      </c>
      <c r="S15" s="17" t="s">
        <v>96</v>
      </c>
      <c r="T15" s="17" t="s">
        <v>20</v>
      </c>
      <c r="U15" s="17" t="s">
        <v>121</v>
      </c>
      <c r="V15" s="17" t="s">
        <v>21</v>
      </c>
    </row>
    <row r="16" spans="2:22" x14ac:dyDescent="0.3">
      <c r="B16" s="16">
        <v>500</v>
      </c>
      <c r="C16" s="16">
        <v>2948.5614292537944</v>
      </c>
      <c r="D16" s="16">
        <v>1356.4262301173844</v>
      </c>
      <c r="E16" s="16">
        <v>1511.9146157877444</v>
      </c>
      <c r="F16" s="16">
        <v>2771.3026251072883</v>
      </c>
      <c r="G16" s="16">
        <v>861.11522976340632</v>
      </c>
      <c r="H16" s="16">
        <v>340.1774796640384</v>
      </c>
      <c r="I16" s="16">
        <v>3028.1716564914286</v>
      </c>
      <c r="J16" s="16">
        <v>11794.615416517447</v>
      </c>
      <c r="K16" s="16">
        <v>138639.03314567471</v>
      </c>
      <c r="L16" s="16">
        <v>89329.858804423799</v>
      </c>
      <c r="M16" s="16">
        <v>364.73841978638626</v>
      </c>
      <c r="N16" s="16">
        <v>208.28536231148587</v>
      </c>
      <c r="O16" s="16">
        <v>5881.3030996340103</v>
      </c>
      <c r="P16" s="16">
        <v>2433.8173080532083</v>
      </c>
      <c r="Q16" s="16">
        <v>0.69940860806835647</v>
      </c>
      <c r="R16" s="16">
        <v>518.90194064976959</v>
      </c>
      <c r="S16" s="16">
        <v>4585.2931282176587</v>
      </c>
      <c r="T16" s="16">
        <v>346597.58286418673</v>
      </c>
      <c r="U16" s="16">
        <v>4681.5356860310476</v>
      </c>
      <c r="V16" s="16">
        <v>204.39429747568178</v>
      </c>
    </row>
    <row r="17" spans="2:22" x14ac:dyDescent="0.3">
      <c r="B17" s="16">
        <v>550</v>
      </c>
      <c r="C17" s="16">
        <v>2978.2296698241607</v>
      </c>
      <c r="D17" s="16">
        <v>1318.6805418472477</v>
      </c>
      <c r="E17" s="16">
        <v>1521.902528703846</v>
      </c>
      <c r="F17" s="16">
        <v>2783.7767920301558</v>
      </c>
      <c r="G17" s="16">
        <v>889.83413920749445</v>
      </c>
      <c r="H17" s="16">
        <v>805.40884684346383</v>
      </c>
      <c r="I17" s="16">
        <v>3649.5425807604643</v>
      </c>
      <c r="J17" s="16">
        <v>15916.416778681467</v>
      </c>
      <c r="K17" s="16">
        <v>150741.7278546278</v>
      </c>
      <c r="L17" s="16">
        <v>91657.429244218394</v>
      </c>
      <c r="M17" s="16">
        <v>369.13125064937702</v>
      </c>
      <c r="N17" s="16">
        <v>211.89585280271399</v>
      </c>
      <c r="O17" s="16">
        <v>6202.2793601868398</v>
      </c>
      <c r="P17" s="16">
        <v>2518.8359916435102</v>
      </c>
      <c r="Q17" s="16">
        <v>0.72279964988682055</v>
      </c>
      <c r="R17" s="16">
        <v>537.45210945302438</v>
      </c>
      <c r="S17" s="16">
        <v>4695.229071043892</v>
      </c>
      <c r="T17" s="16">
        <v>376854.31963656942</v>
      </c>
      <c r="U17" s="16">
        <v>4884.6893691911546</v>
      </c>
      <c r="V17" s="16">
        <v>234.49064526728225</v>
      </c>
    </row>
    <row r="18" spans="2:22" x14ac:dyDescent="0.3">
      <c r="B18" s="16">
        <v>600</v>
      </c>
      <c r="C18" s="16">
        <v>3007.2656005696876</v>
      </c>
      <c r="D18" s="16">
        <v>1281.507723530028</v>
      </c>
      <c r="E18" s="16">
        <v>1528.99071995233</v>
      </c>
      <c r="F18" s="16">
        <v>2792.4530756981671</v>
      </c>
      <c r="G18" s="16">
        <v>918.55320754454283</v>
      </c>
      <c r="H18" s="16">
        <v>1320.1571327557904</v>
      </c>
      <c r="I18" s="16">
        <v>4297.0000918122378</v>
      </c>
      <c r="J18" s="16">
        <v>21237.887994432185</v>
      </c>
      <c r="K18" s="16">
        <v>163810.75957825704</v>
      </c>
      <c r="L18" s="16">
        <v>94289.610392787596</v>
      </c>
      <c r="M18" s="16">
        <v>373.92798740495391</v>
      </c>
      <c r="N18" s="16">
        <v>215.8666140356157</v>
      </c>
      <c r="O18" s="16">
        <v>6532.5973901108619</v>
      </c>
      <c r="P18" s="16">
        <v>2604.2673481218885</v>
      </c>
      <c r="Q18" s="16">
        <v>0.74619661227411505</v>
      </c>
      <c r="R18" s="16">
        <v>556.11044603265202</v>
      </c>
      <c r="S18" s="16">
        <v>4810.7400846338569</v>
      </c>
      <c r="T18" s="16">
        <v>409526.89894564264</v>
      </c>
      <c r="U18" s="16">
        <v>5090.8146842828555</v>
      </c>
      <c r="V18" s="16">
        <v>267.60276690990355</v>
      </c>
    </row>
    <row r="19" spans="2:22" x14ac:dyDescent="0.3">
      <c r="B19" s="16">
        <v>650</v>
      </c>
      <c r="C19" s="16">
        <v>3035.689357492201</v>
      </c>
      <c r="D19" s="16">
        <v>1244.8910840925203</v>
      </c>
      <c r="E19" s="16">
        <v>1533.9874970301762</v>
      </c>
      <c r="F19" s="16">
        <v>2798.4221022535266</v>
      </c>
      <c r="G19" s="16">
        <v>947.25497642047981</v>
      </c>
      <c r="H19" s="16">
        <v>1858.4739014316001</v>
      </c>
      <c r="I19" s="16">
        <v>4970.4374229533005</v>
      </c>
      <c r="J19" s="16">
        <v>28086.836717508984</v>
      </c>
      <c r="K19" s="16">
        <v>178143.89492497977</v>
      </c>
      <c r="L19" s="16">
        <v>97339.721439540212</v>
      </c>
      <c r="M19" s="16">
        <v>379.14214883706074</v>
      </c>
      <c r="N19" s="16">
        <v>220.21335062792764</v>
      </c>
      <c r="O19" s="16">
        <v>6872.2433838194966</v>
      </c>
      <c r="P19" s="16">
        <v>2690.0825495870854</v>
      </c>
      <c r="Q19" s="16">
        <v>0.76958539798279801</v>
      </c>
      <c r="R19" s="16">
        <v>574.86925940898868</v>
      </c>
      <c r="S19" s="16">
        <v>4932.1282617487568</v>
      </c>
      <c r="T19" s="16">
        <v>445359.73731244943</v>
      </c>
      <c r="U19" s="16">
        <v>5299.8297585510263</v>
      </c>
      <c r="V19" s="16">
        <v>303.9004361775514</v>
      </c>
    </row>
    <row r="20" spans="2:22" x14ac:dyDescent="0.3">
      <c r="B20" s="16">
        <v>700</v>
      </c>
      <c r="C20" s="16">
        <v>3063.5131841675043</v>
      </c>
      <c r="D20" s="16">
        <v>1208.8239449501671</v>
      </c>
      <c r="E20" s="16">
        <v>1537.4467368248106</v>
      </c>
      <c r="F20" s="16">
        <v>2802.440878422588</v>
      </c>
      <c r="G20" s="16">
        <v>975.91533622180293</v>
      </c>
      <c r="H20" s="16">
        <v>2403.1475528596202</v>
      </c>
      <c r="I20" s="16">
        <v>5669.5500958230568</v>
      </c>
      <c r="J20" s="16">
        <v>36894.255484164853</v>
      </c>
      <c r="K20" s="16">
        <v>194120.04412755879</v>
      </c>
      <c r="L20" s="16">
        <v>100939.4296158151</v>
      </c>
      <c r="M20" s="16">
        <v>384.78596195631354</v>
      </c>
      <c r="N20" s="16">
        <v>224.95124622887064</v>
      </c>
      <c r="O20" s="16">
        <v>7221.1070559381715</v>
      </c>
      <c r="P20" s="16">
        <v>2776.2330469138237</v>
      </c>
      <c r="Q20" s="16">
        <v>0.79294647204591096</v>
      </c>
      <c r="R20" s="16">
        <v>593.7163696081052</v>
      </c>
      <c r="S20" s="16">
        <v>5059.6601430580004</v>
      </c>
      <c r="T20" s="16">
        <v>485300.110318897</v>
      </c>
      <c r="U20" s="16">
        <v>5511.5991593688577</v>
      </c>
      <c r="V20" s="16">
        <v>343.54423394167185</v>
      </c>
    </row>
    <row r="21" spans="2:22" x14ac:dyDescent="0.3">
      <c r="B21" s="16">
        <v>750</v>
      </c>
      <c r="C21" s="16">
        <v>3090.7455465127828</v>
      </c>
      <c r="D21" s="16">
        <v>1173.3045407099946</v>
      </c>
      <c r="E21" s="16">
        <v>1539.7884766306952</v>
      </c>
      <c r="F21" s="16">
        <v>2805.018382007137</v>
      </c>
      <c r="G21" s="16">
        <v>1004.5071167206745</v>
      </c>
      <c r="H21" s="16">
        <v>2942.6310690947575</v>
      </c>
      <c r="I21" s="16">
        <v>6393.8950186234715</v>
      </c>
      <c r="J21" s="16">
        <v>48238.346125543401</v>
      </c>
      <c r="K21" s="16">
        <v>212238.23419605001</v>
      </c>
      <c r="L21" s="16">
        <v>105253.56004225269</v>
      </c>
      <c r="M21" s="16">
        <v>390.87056758089608</v>
      </c>
      <c r="N21" s="16">
        <v>230.09511247905587</v>
      </c>
      <c r="O21" s="16">
        <v>7579.01458778299</v>
      </c>
      <c r="P21" s="16">
        <v>2862.6608215877736</v>
      </c>
      <c r="Q21" s="16">
        <v>0.81625778220241141</v>
      </c>
      <c r="R21" s="16">
        <v>612.63733781206997</v>
      </c>
      <c r="S21" s="16">
        <v>5193.5753459716925</v>
      </c>
      <c r="T21" s="16">
        <v>530595.58549012512</v>
      </c>
      <c r="U21" s="16">
        <v>5725.9570880680376</v>
      </c>
      <c r="V21" s="16">
        <v>386.68613273264384</v>
      </c>
    </row>
    <row r="22" spans="2:22" x14ac:dyDescent="0.3">
      <c r="B22" s="16">
        <v>800.00000000000011</v>
      </c>
      <c r="C22" s="16">
        <v>3117.3934843303709</v>
      </c>
      <c r="D22" s="16">
        <v>1138.33305276341</v>
      </c>
      <c r="E22" s="16">
        <v>1541.2694860114752</v>
      </c>
      <c r="F22" s="16">
        <v>2806.532548235491</v>
      </c>
      <c r="G22" s="16">
        <v>1033.0018156282754</v>
      </c>
      <c r="H22" s="16">
        <v>3469.1288051136653</v>
      </c>
      <c r="I22" s="16">
        <v>7142.9330882120803</v>
      </c>
      <c r="J22" s="16">
        <v>62913.606293226985</v>
      </c>
      <c r="K22" s="16">
        <v>233177.09736516071</v>
      </c>
      <c r="L22" s="16">
        <v>110500.43569183591</v>
      </c>
      <c r="M22" s="16">
        <v>397.40619041460195</v>
      </c>
      <c r="N22" s="16">
        <v>235.65951150916493</v>
      </c>
      <c r="O22" s="16">
        <v>7945.7510262283686</v>
      </c>
      <c r="P22" s="16">
        <v>2949.3048299776801</v>
      </c>
      <c r="Q22" s="16">
        <v>0.8394965871715695</v>
      </c>
      <c r="R22" s="16">
        <v>631.61687142014978</v>
      </c>
      <c r="S22" s="16">
        <v>5334.0922622019607</v>
      </c>
      <c r="T22" s="16">
        <v>582942.74341290176</v>
      </c>
      <c r="U22" s="16">
        <v>5942.7230807089181</v>
      </c>
      <c r="V22" s="16">
        <v>433.46994194346053</v>
      </c>
    </row>
    <row r="23" spans="2:22" x14ac:dyDescent="0.3">
      <c r="B23" s="16">
        <v>850.00000000000011</v>
      </c>
      <c r="C23" s="16">
        <v>3143.463834922105</v>
      </c>
      <c r="D23" s="16">
        <v>1103.9100202102625</v>
      </c>
      <c r="E23" s="16">
        <v>1542.1068241741657</v>
      </c>
      <c r="F23" s="16">
        <v>2807.2526540154367</v>
      </c>
      <c r="G23" s="16">
        <v>1061.3726985385092</v>
      </c>
      <c r="H23" s="16">
        <v>3977.3664473134559</v>
      </c>
      <c r="I23" s="16">
        <v>7916.0573066213656</v>
      </c>
      <c r="J23" s="16">
        <v>82043.236087615151</v>
      </c>
      <c r="K23" s="16">
        <v>257890.4091378501</v>
      </c>
      <c r="L23" s="16">
        <v>116982.91458223342</v>
      </c>
      <c r="M23" s="16">
        <v>404.40228516365471</v>
      </c>
      <c r="N23" s="16">
        <v>241.65885990869768</v>
      </c>
      <c r="O23" s="16">
        <v>8320.6283651456488</v>
      </c>
      <c r="P23" s="16">
        <v>3036.1046909199681</v>
      </c>
      <c r="Q23" s="16">
        <v>0.86264049813098698</v>
      </c>
      <c r="R23" s="16">
        <v>650.63964700350743</v>
      </c>
      <c r="S23" s="16">
        <v>5481.41188694641</v>
      </c>
      <c r="T23" s="16">
        <v>644726.02284462529</v>
      </c>
      <c r="U23" s="16">
        <v>6161.7090072639021</v>
      </c>
      <c r="V23" s="16">
        <v>484.47728840343802</v>
      </c>
    </row>
    <row r="24" spans="2:22" x14ac:dyDescent="0.3">
      <c r="B24" s="19">
        <v>900.00000000000011</v>
      </c>
      <c r="C24" s="19">
        <v>3168.9638838626593</v>
      </c>
      <c r="D24" s="19">
        <v>1070.0354556951188</v>
      </c>
      <c r="E24" s="19">
        <v>1542.4567100955248</v>
      </c>
      <c r="F24" s="19">
        <v>2807.373846715212</v>
      </c>
      <c r="G24" s="19">
        <v>1089.5931909999586</v>
      </c>
      <c r="H24" s="19">
        <v>4463.8000501786591</v>
      </c>
      <c r="I24" s="19">
        <v>8712.6139107183735</v>
      </c>
      <c r="J24" s="19">
        <v>107270.29753288905</v>
      </c>
      <c r="K24" s="19">
        <v>287768.98644095648</v>
      </c>
      <c r="L24" s="19">
        <v>125140.03470369184</v>
      </c>
      <c r="M24" s="19">
        <v>411.86760778021534</v>
      </c>
      <c r="N24" s="19">
        <v>248.10746773704571</v>
      </c>
      <c r="O24" s="19">
        <v>8701.7503891428678</v>
      </c>
      <c r="P24" s="19">
        <v>3123.0029334100595</v>
      </c>
      <c r="Q24" s="19">
        <v>0.88566811717443028</v>
      </c>
      <c r="R24" s="19">
        <v>669.69080524014873</v>
      </c>
      <c r="S24" s="19">
        <v>5635.7198952900644</v>
      </c>
      <c r="T24" s="19">
        <v>719422.46610239113</v>
      </c>
      <c r="U24" s="19">
        <v>6382.7276697191774</v>
      </c>
      <c r="V24" s="19">
        <v>541.47267431641626</v>
      </c>
    </row>
    <row r="25" spans="2:22" x14ac:dyDescent="0.3">
      <c r="B25" s="16">
        <v>800.00000000000011</v>
      </c>
      <c r="C25" s="16">
        <v>3117.3934843303709</v>
      </c>
      <c r="D25" s="16">
        <v>1138.33305276341</v>
      </c>
      <c r="E25" s="16">
        <v>1541.2694860114752</v>
      </c>
      <c r="F25" s="16">
        <v>2806.532548235491</v>
      </c>
      <c r="G25" s="16">
        <v>1033.0018156282754</v>
      </c>
      <c r="H25" s="16">
        <v>3469.1288051136653</v>
      </c>
      <c r="I25" s="16">
        <v>7142.9330882120803</v>
      </c>
      <c r="J25" s="16">
        <v>62913.606293226985</v>
      </c>
      <c r="K25" s="16">
        <v>233177.09736516071</v>
      </c>
      <c r="L25" s="16">
        <v>110500.43569183591</v>
      </c>
      <c r="M25" s="16">
        <v>397.40619041460195</v>
      </c>
      <c r="N25" s="16">
        <v>235.65951150916493</v>
      </c>
      <c r="O25" s="16">
        <v>7945.7510262283686</v>
      </c>
      <c r="P25" s="16">
        <v>2949.3048299776801</v>
      </c>
      <c r="Q25" s="16">
        <v>0.8394965871715695</v>
      </c>
      <c r="R25" s="16">
        <v>631.61687142014978</v>
      </c>
      <c r="S25" s="16">
        <v>5334.0922622019607</v>
      </c>
      <c r="T25" s="16">
        <v>582942.74341290176</v>
      </c>
      <c r="U25" s="16">
        <v>5942.7230807089181</v>
      </c>
      <c r="V25" s="16">
        <v>433.46994194346053</v>
      </c>
    </row>
    <row r="28" spans="2:22" x14ac:dyDescent="0.3">
      <c r="B28" s="17" t="s">
        <v>0</v>
      </c>
      <c r="C28" s="17" t="s">
        <v>118</v>
      </c>
      <c r="D28" s="17" t="s">
        <v>119</v>
      </c>
      <c r="E28" s="17" t="s">
        <v>120</v>
      </c>
      <c r="F28" s="17" t="s">
        <v>123</v>
      </c>
      <c r="G28" s="17" t="s">
        <v>125</v>
      </c>
      <c r="H28" s="17" t="s">
        <v>124</v>
      </c>
      <c r="I28" s="17" t="s">
        <v>243</v>
      </c>
      <c r="J28" s="17" t="s">
        <v>244</v>
      </c>
      <c r="K28" s="17" t="s">
        <v>245</v>
      </c>
    </row>
    <row r="29" spans="2:22" x14ac:dyDescent="0.3">
      <c r="B29" s="16">
        <v>500</v>
      </c>
      <c r="C29" s="16">
        <v>0.78262447402116964</v>
      </c>
      <c r="D29" s="16">
        <v>3.6103624819718991</v>
      </c>
      <c r="E29" s="16">
        <v>0.27698049849383055</v>
      </c>
      <c r="F29" s="16">
        <v>1.281642565387907E-2</v>
      </c>
      <c r="G29" s="16">
        <v>0.74826028008911183</v>
      </c>
      <c r="H29" s="16">
        <v>21.737552597883049</v>
      </c>
      <c r="I29" s="27">
        <v>0.55479532636456386</v>
      </c>
      <c r="J29" s="27">
        <v>2.7100821127250807</v>
      </c>
      <c r="K29" s="28">
        <v>0.44739605061109766</v>
      </c>
    </row>
    <row r="30" spans="2:22" x14ac:dyDescent="0.3">
      <c r="B30" s="16">
        <v>550</v>
      </c>
      <c r="C30" s="16">
        <v>0.77399453736568069</v>
      </c>
      <c r="D30" s="16">
        <v>3.4343290519720306</v>
      </c>
      <c r="E30" s="16">
        <v>0.29117768998453675</v>
      </c>
      <c r="F30" s="16">
        <v>1.2617425534863374E-2</v>
      </c>
      <c r="G30" s="16">
        <v>0.7373530835658616</v>
      </c>
      <c r="H30" s="16">
        <v>22.60054626343193</v>
      </c>
      <c r="I30" s="27">
        <v>0.49803482116969444</v>
      </c>
      <c r="J30" s="27">
        <v>2.4959205152111394</v>
      </c>
      <c r="K30" s="28">
        <v>0.40127382417381829</v>
      </c>
    </row>
    <row r="31" spans="2:22" x14ac:dyDescent="0.3">
      <c r="B31" s="16">
        <v>600</v>
      </c>
      <c r="C31" s="16">
        <v>0.76837261991511163</v>
      </c>
      <c r="D31" s="16">
        <v>3.3268442538149596</v>
      </c>
      <c r="E31" s="16">
        <v>0.3005851562943711</v>
      </c>
      <c r="F31" s="16">
        <v>1.2473825598042339E-2</v>
      </c>
      <c r="G31" s="16">
        <v>0.72948237102870062</v>
      </c>
      <c r="H31" s="16">
        <v>23.162738008488827</v>
      </c>
      <c r="I31" s="27">
        <v>0.45425048223596226</v>
      </c>
      <c r="J31" s="27">
        <v>2.3270277644889958</v>
      </c>
      <c r="K31" s="28">
        <v>0.36467370004283456</v>
      </c>
    </row>
    <row r="32" spans="2:22" x14ac:dyDescent="0.3">
      <c r="B32" s="16">
        <v>650</v>
      </c>
      <c r="C32" s="16">
        <v>0.76551349203463515</v>
      </c>
      <c r="D32" s="16">
        <v>3.2743310235910545</v>
      </c>
      <c r="E32" s="16">
        <v>0.30540589598154644</v>
      </c>
      <c r="F32" s="16">
        <v>1.2369649611576152E-2</v>
      </c>
      <c r="G32" s="16">
        <v>0.72377248521048898</v>
      </c>
      <c r="H32" s="16">
        <v>23.448650796536484</v>
      </c>
      <c r="I32" s="27">
        <v>0.41966430087213957</v>
      </c>
      <c r="J32" s="27">
        <v>2.1902422405774988</v>
      </c>
      <c r="K32" s="28">
        <v>0.33485134082926482</v>
      </c>
    </row>
    <row r="33" spans="2:11" x14ac:dyDescent="0.3">
      <c r="B33" s="16">
        <v>700</v>
      </c>
      <c r="C33" s="16">
        <v>0.76527370381661175</v>
      </c>
      <c r="D33" s="16">
        <v>3.2702983290412786</v>
      </c>
      <c r="E33" s="16">
        <v>0.30578250036691917</v>
      </c>
      <c r="F33" s="16">
        <v>1.2295925511029119E-2</v>
      </c>
      <c r="G33" s="16">
        <v>0.7197316672595061</v>
      </c>
      <c r="H33" s="16">
        <v>23.472629618338825</v>
      </c>
      <c r="I33" s="27">
        <v>0.3919406015251149</v>
      </c>
      <c r="J33" s="27">
        <v>2.0770940382010674</v>
      </c>
      <c r="K33" s="28">
        <v>0.3100391304582043</v>
      </c>
    </row>
    <row r="34" spans="2:11" x14ac:dyDescent="0.3">
      <c r="B34" s="16">
        <v>750</v>
      </c>
      <c r="C34" s="16">
        <v>0.76758206960391329</v>
      </c>
      <c r="D34" s="16">
        <v>3.3131307362151041</v>
      </c>
      <c r="E34" s="16">
        <v>0.30182932085028208</v>
      </c>
      <c r="F34" s="16">
        <v>1.2247524296224374E-2</v>
      </c>
      <c r="G34" s="16">
        <v>0.71707879667605801</v>
      </c>
      <c r="H34" s="16">
        <v>23.241793039608684</v>
      </c>
      <c r="I34" s="27">
        <v>0.36958489916238402</v>
      </c>
      <c r="J34" s="27">
        <v>1.9818647665588232</v>
      </c>
      <c r="K34" s="28">
        <v>0.28904265664208295</v>
      </c>
    </row>
    <row r="35" spans="2:11" x14ac:dyDescent="0.3">
      <c r="B35" s="16">
        <v>800.00000000000011</v>
      </c>
      <c r="C35" s="16">
        <v>0.77242084233413699</v>
      </c>
      <c r="D35" s="16">
        <v>3.4053466482438601</v>
      </c>
      <c r="E35" s="16">
        <v>0.29365586041459268</v>
      </c>
      <c r="F35" s="16">
        <v>1.2221865877615829E-2</v>
      </c>
      <c r="G35" s="16">
        <v>0.7156724587521236</v>
      </c>
      <c r="H35" s="16">
        <v>22.757915766586301</v>
      </c>
      <c r="I35" s="27">
        <v>0.351638456117429</v>
      </c>
      <c r="J35" s="27">
        <v>1.9005496689146004</v>
      </c>
      <c r="K35" s="28">
        <v>0.27102443565787682</v>
      </c>
    </row>
    <row r="36" spans="2:11" x14ac:dyDescent="0.3">
      <c r="B36" s="16">
        <v>850.00000000000011</v>
      </c>
      <c r="C36" s="16">
        <v>0.77981264779428183</v>
      </c>
      <c r="D36" s="16">
        <v>3.5538595408273626</v>
      </c>
      <c r="E36" s="16">
        <v>0.28138422143920555</v>
      </c>
      <c r="F36" s="16">
        <v>1.2218403031162202E-2</v>
      </c>
      <c r="G36" s="16">
        <v>0.71548266013800033</v>
      </c>
      <c r="H36" s="16">
        <v>22.018735220571827</v>
      </c>
      <c r="I36" s="28">
        <v>0.33751958014128181</v>
      </c>
      <c r="J36" s="28">
        <v>1.8302565895569651</v>
      </c>
      <c r="K36" s="28">
        <v>0.25537881890345748</v>
      </c>
    </row>
    <row r="37" spans="2:11" x14ac:dyDescent="0.3">
      <c r="B37" s="19">
        <v>900.00000000000011</v>
      </c>
      <c r="C37" s="19">
        <v>0.78981118179505139</v>
      </c>
      <c r="D37" s="16">
        <v>3.7712780438718494</v>
      </c>
      <c r="E37" s="16">
        <v>0.26516209846286815</v>
      </c>
      <c r="F37" s="16">
        <v>1.2238649661083623E-2</v>
      </c>
      <c r="G37" s="16">
        <v>0.71659237792399344</v>
      </c>
      <c r="H37" s="16">
        <v>21.018881820494862</v>
      </c>
      <c r="I37" s="28">
        <v>0.32695318462824652</v>
      </c>
      <c r="J37" s="28">
        <v>1.7688468583257713</v>
      </c>
      <c r="K37" s="28">
        <v>0.24165697581777615</v>
      </c>
    </row>
    <row r="38" spans="2:11" x14ac:dyDescent="0.3">
      <c r="B38" s="16">
        <v>800.00000000000011</v>
      </c>
      <c r="C38" s="16">
        <v>0.77242084233413699</v>
      </c>
      <c r="D38" s="18">
        <v>3.4053466482438601</v>
      </c>
      <c r="E38" s="18">
        <v>0.29365586041459268</v>
      </c>
      <c r="F38" s="18">
        <v>1.2221865877615829E-2</v>
      </c>
      <c r="G38" s="18">
        <v>0.7156724587521236</v>
      </c>
      <c r="H38" s="18">
        <v>22.757915766586301</v>
      </c>
      <c r="I38" s="29">
        <v>0.351638456117429</v>
      </c>
      <c r="J38" s="29">
        <v>1.9005496689146004</v>
      </c>
      <c r="K38" s="29">
        <v>0.27102443565787682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8F8E6-609F-4748-8A52-08E74E409D1F}">
  <dimension ref="B2:V34"/>
  <sheetViews>
    <sheetView topLeftCell="A17" workbookViewId="0">
      <selection activeCell="B29" sqref="B29:K34"/>
    </sheetView>
  </sheetViews>
  <sheetFormatPr baseColWidth="10" defaultRowHeight="14.4" x14ac:dyDescent="0.3"/>
  <cols>
    <col min="1" max="9" width="11.5546875" style="16"/>
    <col min="10" max="10" width="15" style="16" customWidth="1"/>
    <col min="11" max="16384" width="11.5546875" style="16"/>
  </cols>
  <sheetData>
    <row r="2" spans="2:22" x14ac:dyDescent="0.3">
      <c r="B2" s="17" t="s">
        <v>240</v>
      </c>
      <c r="C2" s="17" t="s">
        <v>90</v>
      </c>
      <c r="D2" s="17" t="s">
        <v>97</v>
      </c>
      <c r="E2" s="17" t="s">
        <v>91</v>
      </c>
      <c r="F2" s="17" t="s">
        <v>1</v>
      </c>
      <c r="G2" s="17" t="s">
        <v>2</v>
      </c>
      <c r="H2" s="17" t="s">
        <v>3</v>
      </c>
      <c r="I2" s="17" t="s">
        <v>4</v>
      </c>
      <c r="J2" s="17" t="s">
        <v>5</v>
      </c>
      <c r="K2" s="17" t="s">
        <v>6</v>
      </c>
      <c r="L2" s="17" t="s">
        <v>7</v>
      </c>
    </row>
    <row r="3" spans="2:22" x14ac:dyDescent="0.3">
      <c r="B3" s="16">
        <v>2.5</v>
      </c>
      <c r="C3" s="16">
        <v>0.14816689369741928</v>
      </c>
      <c r="D3" s="16">
        <v>6.7342358759702702E-3</v>
      </c>
      <c r="E3" s="16">
        <v>56.964645761388169</v>
      </c>
      <c r="F3" s="16">
        <v>21.165348938260554</v>
      </c>
      <c r="G3" s="16">
        <v>55.908324645574957</v>
      </c>
      <c r="H3" s="16">
        <v>59.189719664805004</v>
      </c>
      <c r="I3" s="16">
        <v>57.729279005009204</v>
      </c>
      <c r="J3" s="16">
        <v>26</v>
      </c>
      <c r="K3" s="16">
        <v>0.11950172563922697</v>
      </c>
      <c r="L3" s="16">
        <v>1.0679490088069992</v>
      </c>
    </row>
    <row r="4" spans="2:22" x14ac:dyDescent="0.3">
      <c r="B4" s="16">
        <v>2.7</v>
      </c>
      <c r="C4" s="16">
        <v>0.15566697058060769</v>
      </c>
      <c r="D4" s="16">
        <v>7.5293584802110817E-3</v>
      </c>
      <c r="E4" s="16">
        <v>57.545256030232352</v>
      </c>
      <c r="F4" s="16">
        <v>21.351660780792912</v>
      </c>
      <c r="G4" s="16">
        <v>56.402821541456284</v>
      </c>
      <c r="H4" s="16">
        <v>58.944174168235278</v>
      </c>
      <c r="I4" s="16">
        <v>57.489748166950314</v>
      </c>
      <c r="J4" s="16">
        <v>26</v>
      </c>
      <c r="K4" s="16">
        <v>0.13305711404850473</v>
      </c>
      <c r="L4" s="16">
        <v>1.1890892144253362</v>
      </c>
    </row>
    <row r="5" spans="2:22" x14ac:dyDescent="0.3">
      <c r="B5" s="16">
        <v>2.9</v>
      </c>
      <c r="C5" s="16">
        <v>0.16227893989998951</v>
      </c>
      <c r="D5" s="16">
        <v>8.1624683336946058E-3</v>
      </c>
      <c r="E5" s="16">
        <v>57.867796024364097</v>
      </c>
      <c r="F5" s="16">
        <v>21.451381804251511</v>
      </c>
      <c r="G5" s="16">
        <v>56.667788907976181</v>
      </c>
      <c r="H5" s="16">
        <v>58.761692285486703</v>
      </c>
      <c r="I5" s="16">
        <v>57.311736430927176</v>
      </c>
      <c r="J5" s="16">
        <v>26</v>
      </c>
      <c r="K5" s="16">
        <v>0.14379864522624392</v>
      </c>
      <c r="L5" s="16">
        <v>1.285082870692426</v>
      </c>
    </row>
    <row r="6" spans="2:22" x14ac:dyDescent="0.3">
      <c r="B6" s="16">
        <v>3.1</v>
      </c>
      <c r="C6" s="16">
        <v>0.16816932560061704</v>
      </c>
      <c r="D6" s="16">
        <v>8.686527999868951E-3</v>
      </c>
      <c r="E6" s="16">
        <v>58.033954827081338</v>
      </c>
      <c r="F6" s="16">
        <v>21.498673305116203</v>
      </c>
      <c r="G6" s="16">
        <v>56.79378761358371</v>
      </c>
      <c r="H6" s="16">
        <v>58.618045868696775</v>
      </c>
      <c r="I6" s="16">
        <v>57.171608974412401</v>
      </c>
      <c r="J6" s="16">
        <v>26</v>
      </c>
      <c r="K6" s="16">
        <v>0.15265687096659597</v>
      </c>
      <c r="L6" s="16">
        <v>1.3642460237648557</v>
      </c>
    </row>
    <row r="7" spans="2:22" x14ac:dyDescent="0.3">
      <c r="B7" s="16">
        <v>3.3</v>
      </c>
      <c r="C7" s="16">
        <v>0.17345261418436411</v>
      </c>
      <c r="D7" s="16">
        <v>9.1364978290003895E-3</v>
      </c>
      <c r="E7" s="16">
        <v>58.09849493424899</v>
      </c>
      <c r="F7" s="16">
        <v>21.511617804235726</v>
      </c>
      <c r="G7" s="16">
        <v>56.828779788176234</v>
      </c>
      <c r="H7" s="16">
        <v>58.499426691536961</v>
      </c>
      <c r="I7" s="16">
        <v>57.055895750215626</v>
      </c>
      <c r="J7" s="16">
        <v>26</v>
      </c>
      <c r="K7" s="16">
        <v>0.16023965484701469</v>
      </c>
      <c r="L7" s="16">
        <v>1.4320109575829549</v>
      </c>
    </row>
    <row r="8" spans="2:22" x14ac:dyDescent="0.3">
      <c r="B8" s="16">
        <v>3.5</v>
      </c>
      <c r="C8" s="16">
        <v>0.17821771118453278</v>
      </c>
      <c r="D8" s="16">
        <v>9.5336854968264082E-3</v>
      </c>
      <c r="E8" s="16">
        <v>58.093587340872254</v>
      </c>
      <c r="F8" s="16">
        <v>21.500883358703305</v>
      </c>
      <c r="G8" s="16">
        <v>56.801054877285281</v>
      </c>
      <c r="H8" s="16">
        <v>58.397997958337498</v>
      </c>
      <c r="I8" s="16">
        <v>56.956951903247862</v>
      </c>
      <c r="J8" s="16">
        <v>26</v>
      </c>
      <c r="K8" s="16">
        <v>0.16691573452926184</v>
      </c>
      <c r="L8" s="16">
        <v>1.4916729636438284</v>
      </c>
    </row>
    <row r="15" spans="2:22" x14ac:dyDescent="0.3">
      <c r="B15" s="17" t="s">
        <v>240</v>
      </c>
      <c r="C15" s="17" t="s">
        <v>8</v>
      </c>
      <c r="D15" s="17" t="s">
        <v>9</v>
      </c>
      <c r="E15" s="17" t="s">
        <v>10</v>
      </c>
      <c r="F15" s="17" t="s">
        <v>11</v>
      </c>
      <c r="G15" s="17" t="s">
        <v>92</v>
      </c>
      <c r="H15" s="17" t="s">
        <v>12</v>
      </c>
      <c r="I15" s="17" t="s">
        <v>13</v>
      </c>
      <c r="J15" s="17" t="s">
        <v>93</v>
      </c>
      <c r="K15" s="17" t="s">
        <v>14</v>
      </c>
      <c r="L15" s="17" t="s">
        <v>94</v>
      </c>
      <c r="M15" s="17" t="s">
        <v>15</v>
      </c>
      <c r="N15" s="17" t="s">
        <v>16</v>
      </c>
      <c r="O15" s="17" t="s">
        <v>17</v>
      </c>
      <c r="P15" s="17" t="s">
        <v>18</v>
      </c>
      <c r="Q15" s="17" t="s">
        <v>95</v>
      </c>
      <c r="R15" s="17" t="s">
        <v>19</v>
      </c>
      <c r="S15" s="17" t="s">
        <v>96</v>
      </c>
      <c r="T15" s="17" t="s">
        <v>20</v>
      </c>
      <c r="U15" s="17" t="s">
        <v>121</v>
      </c>
      <c r="V15" s="17" t="s">
        <v>21</v>
      </c>
    </row>
    <row r="16" spans="2:22" x14ac:dyDescent="0.3">
      <c r="B16" s="16">
        <v>2.5</v>
      </c>
      <c r="C16" s="16">
        <v>2.6648478767473245</v>
      </c>
      <c r="D16" s="16">
        <v>0.98637006924873272</v>
      </c>
      <c r="E16" s="16">
        <v>1.5424567100955173</v>
      </c>
      <c r="F16" s="16">
        <v>2.3988101530183341</v>
      </c>
      <c r="G16" s="16">
        <v>0.99703770676192471</v>
      </c>
      <c r="H16" s="16">
        <v>6.9476550741795799</v>
      </c>
      <c r="I16" s="16">
        <v>9.2492997745483656</v>
      </c>
      <c r="J16" s="16">
        <v>102.3755615721311</v>
      </c>
      <c r="K16" s="16">
        <v>274.63810828811501</v>
      </c>
      <c r="L16" s="16">
        <v>119.16108401865955</v>
      </c>
      <c r="M16" s="16">
        <v>3.5346036023974392</v>
      </c>
      <c r="N16" s="16">
        <v>2.7601883775233755</v>
      </c>
      <c r="O16" s="16">
        <v>8.1751551300820342</v>
      </c>
      <c r="P16" s="16">
        <v>3.7000428190667423</v>
      </c>
      <c r="Q16" s="16">
        <v>8.0994118158368082E-4</v>
      </c>
      <c r="R16" s="16">
        <v>0.75406058026615341</v>
      </c>
      <c r="S16" s="16">
        <v>-1.4577184054056023</v>
      </c>
      <c r="T16" s="16">
        <v>686.59527072028743</v>
      </c>
      <c r="U16" s="16">
        <v>2.8287445516591152</v>
      </c>
      <c r="V16" s="16">
        <v>541.25711784027646</v>
      </c>
    </row>
    <row r="17" spans="2:22" x14ac:dyDescent="0.3">
      <c r="B17" s="16">
        <v>2.7</v>
      </c>
      <c r="C17" s="16">
        <v>3.0873746791042942</v>
      </c>
      <c r="D17" s="16">
        <v>1.0581726709377508</v>
      </c>
      <c r="E17" s="16">
        <v>1.5424567100955173</v>
      </c>
      <c r="F17" s="16">
        <v>2.74151919271308</v>
      </c>
      <c r="G17" s="16">
        <v>1.0765328210015159</v>
      </c>
      <c r="H17" s="16">
        <v>4.8122007797128168</v>
      </c>
      <c r="I17" s="16">
        <v>8.7983787257595463</v>
      </c>
      <c r="J17" s="16">
        <v>106.47250431367063</v>
      </c>
      <c r="K17" s="16">
        <v>285.62878406094933</v>
      </c>
      <c r="L17" s="16">
        <v>124.16319568817148</v>
      </c>
      <c r="M17" s="16">
        <v>3.1814466598366935</v>
      </c>
      <c r="N17" s="16">
        <v>2.529223250303231</v>
      </c>
      <c r="O17" s="16">
        <v>9.724441884323193</v>
      </c>
      <c r="P17" s="16">
        <v>4.529450195716997</v>
      </c>
      <c r="Q17" s="16">
        <v>8.7497071764366474E-4</v>
      </c>
      <c r="R17" s="16">
        <v>0.87717648611728305</v>
      </c>
      <c r="S17" s="16">
        <v>-1.8187458306705648</v>
      </c>
      <c r="T17" s="16">
        <v>714.07196015237332</v>
      </c>
      <c r="U17" s="16">
        <v>3.1808572198766729</v>
      </c>
      <c r="V17" s="16">
        <v>561.58584447833709</v>
      </c>
    </row>
    <row r="18" spans="2:22" x14ac:dyDescent="0.3">
      <c r="B18" s="16">
        <v>2.9</v>
      </c>
      <c r="C18" s="16">
        <v>3.4833349591886873</v>
      </c>
      <c r="D18" s="16">
        <v>1.1128283922583833</v>
      </c>
      <c r="E18" s="16">
        <v>1.5424567100955173</v>
      </c>
      <c r="F18" s="16">
        <v>3.0626461462244623</v>
      </c>
      <c r="G18" s="16">
        <v>1.134911883330149</v>
      </c>
      <c r="H18" s="16">
        <v>3.2619581509413549</v>
      </c>
      <c r="I18" s="16">
        <v>8.3890102350076639</v>
      </c>
      <c r="J18" s="16">
        <v>110.37627722141367</v>
      </c>
      <c r="K18" s="16">
        <v>296.10125219792326</v>
      </c>
      <c r="L18" s="16">
        <v>128.95181516126439</v>
      </c>
      <c r="M18" s="16">
        <v>2.8853526256065507</v>
      </c>
      <c r="N18" s="16">
        <v>2.3603321076499659</v>
      </c>
      <c r="O18" s="16">
        <v>10.97919765967354</v>
      </c>
      <c r="P18" s="16">
        <v>5.3268577223470821</v>
      </c>
      <c r="Q18" s="16">
        <v>9.2282153852808952E-4</v>
      </c>
      <c r="R18" s="16">
        <v>0.98324170106960251</v>
      </c>
      <c r="S18" s="16">
        <v>-1.9782079329278976</v>
      </c>
      <c r="T18" s="16">
        <v>740.25313049480803</v>
      </c>
      <c r="U18" s="16">
        <v>3.4629181106772062</v>
      </c>
      <c r="V18" s="16">
        <v>581.43710587328212</v>
      </c>
    </row>
    <row r="19" spans="2:22" x14ac:dyDescent="0.3">
      <c r="B19" s="16">
        <v>3.1</v>
      </c>
      <c r="C19" s="16">
        <v>3.849845505000594</v>
      </c>
      <c r="D19" s="16">
        <v>1.1592727723247735</v>
      </c>
      <c r="E19" s="16">
        <v>1.5424567100955173</v>
      </c>
      <c r="F19" s="16">
        <v>3.3649348540762438</v>
      </c>
      <c r="G19" s="16">
        <v>1.180098670358233</v>
      </c>
      <c r="H19" s="16">
        <v>2.0882936759883304</v>
      </c>
      <c r="I19" s="16">
        <v>8.0256331977169904</v>
      </c>
      <c r="J19" s="16">
        <v>114.05521230881628</v>
      </c>
      <c r="K19" s="16">
        <v>305.9705584796489</v>
      </c>
      <c r="L19" s="16">
        <v>133.48492502395891</v>
      </c>
      <c r="M19" s="16">
        <v>2.6354072076822548</v>
      </c>
      <c r="N19" s="16">
        <v>2.2303460991928903</v>
      </c>
      <c r="O19" s="16">
        <v>12.030465799378224</v>
      </c>
      <c r="P19" s="16">
        <v>6.0914841011854417</v>
      </c>
      <c r="Q19" s="16">
        <v>9.5992122731354003E-4</v>
      </c>
      <c r="R19" s="16">
        <v>1.0770012172548296</v>
      </c>
      <c r="S19" s="16">
        <v>-2.0298275997064565</v>
      </c>
      <c r="T19" s="16">
        <v>764.92639619912222</v>
      </c>
      <c r="U19" s="16">
        <v>3.6974779927046795</v>
      </c>
      <c r="V19" s="16">
        <v>600.45454593690408</v>
      </c>
    </row>
    <row r="20" spans="2:22" x14ac:dyDescent="0.3">
      <c r="B20" s="16">
        <v>3.3</v>
      </c>
      <c r="C20" s="16">
        <v>4.1897807746840847</v>
      </c>
      <c r="D20" s="16">
        <v>1.2005121499819216</v>
      </c>
      <c r="E20" s="16">
        <v>1.5424567100955173</v>
      </c>
      <c r="F20" s="16">
        <v>3.6506399459165988</v>
      </c>
      <c r="G20" s="16">
        <v>1.2168194568160069</v>
      </c>
      <c r="H20" s="16">
        <v>1.1736306340101292</v>
      </c>
      <c r="I20" s="16">
        <v>7.7003977334383675</v>
      </c>
      <c r="J20" s="16">
        <v>117.50774436055892</v>
      </c>
      <c r="K20" s="16">
        <v>315.23250397653982</v>
      </c>
      <c r="L20" s="16">
        <v>137.75725064697997</v>
      </c>
      <c r="M20" s="16">
        <v>2.4234137716096513</v>
      </c>
      <c r="N20" s="16">
        <v>2.1260232594346991</v>
      </c>
      <c r="O20" s="16">
        <v>12.941619902553503</v>
      </c>
      <c r="P20" s="16">
        <v>6.8292880756010712</v>
      </c>
      <c r="Q20" s="16">
        <v>9.9011228412205468E-4</v>
      </c>
      <c r="R20" s="16">
        <v>1.1620598783187359</v>
      </c>
      <c r="S20" s="16">
        <v>-2.026489666506686</v>
      </c>
      <c r="T20" s="16">
        <v>788.08125994134957</v>
      </c>
      <c r="U20" s="16">
        <v>3.8996313447041677</v>
      </c>
      <c r="V20" s="16">
        <v>618.52827306702056</v>
      </c>
    </row>
    <row r="21" spans="2:22" x14ac:dyDescent="0.3">
      <c r="B21" s="16">
        <v>3.5</v>
      </c>
      <c r="C21" s="16">
        <v>4.5064720702113261</v>
      </c>
      <c r="D21" s="16">
        <v>1.2378443466263889</v>
      </c>
      <c r="E21" s="16">
        <v>1.5424567100955173</v>
      </c>
      <c r="F21" s="16">
        <v>3.9216241291317857</v>
      </c>
      <c r="G21" s="16">
        <v>1.2477923804527091</v>
      </c>
      <c r="H21" s="16">
        <v>0.44774442370759787</v>
      </c>
      <c r="I21" s="16">
        <v>7.4057577728634207</v>
      </c>
      <c r="J21" s="16">
        <v>120.74612116199641</v>
      </c>
      <c r="K21" s="16">
        <v>323.91994524683048</v>
      </c>
      <c r="L21" s="16">
        <v>141.78080722790236</v>
      </c>
      <c r="M21" s="16">
        <v>2.2427534299674861</v>
      </c>
      <c r="N21" s="16">
        <v>2.0396538942054714</v>
      </c>
      <c r="O21" s="16">
        <v>13.751892148659186</v>
      </c>
      <c r="P21" s="16">
        <v>7.5454352560223921</v>
      </c>
      <c r="Q21" s="16">
        <v>1.0156068599449534E-3</v>
      </c>
      <c r="R21" s="16">
        <v>1.240742535294457</v>
      </c>
      <c r="S21" s="16">
        <v>-1.9959093778783614</v>
      </c>
      <c r="T21" s="16">
        <v>809.79986311707626</v>
      </c>
      <c r="U21" s="16">
        <v>4.0786349558568915</v>
      </c>
      <c r="V21" s="16">
        <v>635.66078391880546</v>
      </c>
    </row>
    <row r="28" spans="2:22" x14ac:dyDescent="0.3">
      <c r="B28" s="17" t="s">
        <v>240</v>
      </c>
      <c r="C28" s="17" t="s">
        <v>118</v>
      </c>
      <c r="D28" s="17" t="s">
        <v>119</v>
      </c>
      <c r="E28" s="17" t="s">
        <v>120</v>
      </c>
      <c r="F28" s="17" t="s">
        <v>123</v>
      </c>
      <c r="G28" s="17" t="s">
        <v>125</v>
      </c>
      <c r="H28" s="17" t="s">
        <v>124</v>
      </c>
    </row>
    <row r="29" spans="2:22" x14ac:dyDescent="0.3">
      <c r="B29" s="16">
        <v>2.5</v>
      </c>
      <c r="C29" s="16">
        <v>0.78832048649630093</v>
      </c>
      <c r="D29" s="16">
        <v>3.7245806284405534</v>
      </c>
      <c r="E29" s="16">
        <v>0.26848660285780696</v>
      </c>
      <c r="F29" s="16">
        <v>1.0953340502488237E-2</v>
      </c>
      <c r="G29" s="16">
        <v>0.64614458294138033</v>
      </c>
      <c r="H29" s="16">
        <v>21.167951350369908</v>
      </c>
      <c r="I29" s="16">
        <v>0.34227557338586767</v>
      </c>
      <c r="J29" s="16">
        <v>0.5548833499916922</v>
      </c>
      <c r="K29" s="16">
        <v>0.26660671501238004</v>
      </c>
    </row>
    <row r="30" spans="2:22" x14ac:dyDescent="0.3">
      <c r="B30" s="16">
        <v>2.7</v>
      </c>
      <c r="C30" s="16">
        <v>0.78645553363907783</v>
      </c>
      <c r="D30" s="16">
        <v>3.6833459547396958</v>
      </c>
      <c r="E30" s="16">
        <v>0.2714922823671258</v>
      </c>
      <c r="F30" s="16">
        <v>1.094156940291963E-2</v>
      </c>
      <c r="G30" s="16">
        <v>0.64549940897402491</v>
      </c>
      <c r="H30" s="16">
        <v>21.354446636092216</v>
      </c>
      <c r="I30" s="16">
        <v>0.34415283549829428</v>
      </c>
      <c r="J30" s="16">
        <v>0.55975126890578497</v>
      </c>
      <c r="K30" s="16">
        <v>0.26807615264009277</v>
      </c>
    </row>
    <row r="31" spans="2:22" x14ac:dyDescent="0.3">
      <c r="B31" s="16">
        <v>2.9</v>
      </c>
      <c r="C31" s="16">
        <v>0.78545713880957391</v>
      </c>
      <c r="D31" s="16">
        <v>3.6615689654728993</v>
      </c>
      <c r="E31" s="16">
        <v>0.27310696846887</v>
      </c>
      <c r="F31" s="16">
        <v>1.0928430721673115E-2</v>
      </c>
      <c r="G31" s="16">
        <v>0.64477927785490341</v>
      </c>
      <c r="H31" s="16">
        <v>21.4542861190426</v>
      </c>
      <c r="I31" s="16">
        <v>0.34609269486344429</v>
      </c>
      <c r="J31" s="16">
        <v>0.56468232790516182</v>
      </c>
      <c r="K31" s="16">
        <v>0.26990580548077292</v>
      </c>
    </row>
    <row r="32" spans="2:22" x14ac:dyDescent="0.3">
      <c r="B32" s="16">
        <v>3.1</v>
      </c>
      <c r="C32" s="16">
        <v>0.7849834296744499</v>
      </c>
      <c r="D32" s="16">
        <v>3.651311029911978</v>
      </c>
      <c r="E32" s="16">
        <v>0.2738742308743024</v>
      </c>
      <c r="F32" s="16">
        <v>1.0919211198850547E-2</v>
      </c>
      <c r="G32" s="16">
        <v>0.64427395580899849</v>
      </c>
      <c r="H32" s="16">
        <v>21.501657032555009</v>
      </c>
      <c r="I32" s="16">
        <v>0.34855819919645442</v>
      </c>
      <c r="J32" s="16">
        <v>0.57006413642300191</v>
      </c>
      <c r="K32" s="16">
        <v>0.27219139747597909</v>
      </c>
    </row>
    <row r="33" spans="2:11" x14ac:dyDescent="0.3">
      <c r="B33" s="16">
        <v>3.3</v>
      </c>
      <c r="C33" s="16">
        <v>0.78485342122340596</v>
      </c>
      <c r="D33" s="16">
        <v>3.6485095094468676</v>
      </c>
      <c r="E33" s="16">
        <v>0.27408452613615497</v>
      </c>
      <c r="F33" s="16">
        <v>1.0910511029656671E-2</v>
      </c>
      <c r="G33" s="16">
        <v>0.64379709953548214</v>
      </c>
      <c r="H33" s="16">
        <v>21.514657877659392</v>
      </c>
      <c r="I33" s="16">
        <v>0.35097320608728932</v>
      </c>
      <c r="J33" s="16">
        <v>0.57505965611498933</v>
      </c>
      <c r="K33" s="16">
        <v>0.27438199685895309</v>
      </c>
    </row>
    <row r="34" spans="2:11" x14ac:dyDescent="0.3">
      <c r="B34" s="16">
        <v>3.5</v>
      </c>
      <c r="C34" s="16">
        <v>0.78496034992155239</v>
      </c>
      <c r="D34" s="16">
        <v>3.6508283721459738</v>
      </c>
      <c r="E34" s="16">
        <v>0.27391043841707502</v>
      </c>
      <c r="F34" s="16">
        <v>1.090316275126973E-2</v>
      </c>
      <c r="G34" s="16">
        <v>0.64339434039709387</v>
      </c>
      <c r="H34" s="16">
        <v>21.503965007844748</v>
      </c>
      <c r="I34" s="16">
        <v>0.35352644778452369</v>
      </c>
      <c r="J34" s="16">
        <v>0.58007808048436504</v>
      </c>
      <c r="K34" s="16">
        <v>0.27667135279187088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F8E15-0944-4FE7-87E9-AAA093D2FC4F}">
  <dimension ref="B2:V35"/>
  <sheetViews>
    <sheetView topLeftCell="A17" workbookViewId="0">
      <selection activeCell="B29" sqref="B29:K35"/>
    </sheetView>
  </sheetViews>
  <sheetFormatPr baseColWidth="10" defaultRowHeight="14.4" x14ac:dyDescent="0.3"/>
  <cols>
    <col min="1" max="16384" width="11.5546875" style="16"/>
  </cols>
  <sheetData>
    <row r="2" spans="2:22" x14ac:dyDescent="0.3">
      <c r="B2" s="17" t="s">
        <v>77</v>
      </c>
      <c r="C2" s="17" t="s">
        <v>90</v>
      </c>
      <c r="D2" s="17" t="s">
        <v>97</v>
      </c>
      <c r="E2" s="17" t="s">
        <v>91</v>
      </c>
      <c r="F2" s="17" t="s">
        <v>1</v>
      </c>
      <c r="G2" s="17" t="s">
        <v>2</v>
      </c>
      <c r="H2" s="17" t="s">
        <v>3</v>
      </c>
      <c r="I2" s="17" t="s">
        <v>4</v>
      </c>
      <c r="J2" s="17" t="s">
        <v>5</v>
      </c>
      <c r="K2" s="17" t="s">
        <v>6</v>
      </c>
      <c r="L2" s="17" t="s">
        <v>7</v>
      </c>
    </row>
    <row r="3" spans="2:22" x14ac:dyDescent="0.3">
      <c r="B3" s="16">
        <v>0.6</v>
      </c>
      <c r="C3" s="16">
        <v>8.4211561976013968E-2</v>
      </c>
      <c r="D3" s="16">
        <v>7.8630926606964024E-3</v>
      </c>
      <c r="E3" s="16">
        <v>41.852285461263897</v>
      </c>
      <c r="F3" s="16">
        <v>15.224184069933031</v>
      </c>
      <c r="G3" s="16">
        <v>40.244486029293242</v>
      </c>
      <c r="H3" s="16">
        <v>58.846679079728716</v>
      </c>
      <c r="I3" s="16">
        <v>57.394641330672847</v>
      </c>
      <c r="J3" s="16">
        <v>26</v>
      </c>
      <c r="K3" s="16">
        <v>0.1387249120209072</v>
      </c>
      <c r="L3" s="16">
        <v>1.2397405267337387</v>
      </c>
    </row>
    <row r="4" spans="2:22" x14ac:dyDescent="0.3">
      <c r="B4" s="16">
        <v>0.65</v>
      </c>
      <c r="C4" s="16">
        <v>9.5281754998553791E-2</v>
      </c>
      <c r="D4" s="16">
        <v>7.8332887957953384E-3</v>
      </c>
      <c r="E4" s="16">
        <v>44.933380647869939</v>
      </c>
      <c r="F4" s="16">
        <v>16.426025261648309</v>
      </c>
      <c r="G4" s="16">
        <v>43.413869684623059</v>
      </c>
      <c r="H4" s="16">
        <v>58.855264463648282</v>
      </c>
      <c r="I4" s="16">
        <v>57.403016403607651</v>
      </c>
      <c r="J4" s="16">
        <v>26</v>
      </c>
      <c r="K4" s="16">
        <v>0.13821926232939638</v>
      </c>
      <c r="L4" s="16">
        <v>1.2352216958636071</v>
      </c>
    </row>
    <row r="5" spans="2:22" x14ac:dyDescent="0.3">
      <c r="B5" s="16">
        <v>0.7</v>
      </c>
      <c r="C5" s="16">
        <v>0.10635197332921997</v>
      </c>
      <c r="D5" s="16">
        <v>7.8034867682354944E-3</v>
      </c>
      <c r="E5" s="16">
        <v>47.714779598232759</v>
      </c>
      <c r="F5" s="16">
        <v>17.510963835453079</v>
      </c>
      <c r="G5" s="16">
        <v>46.274968579604028</v>
      </c>
      <c r="H5" s="16">
        <v>58.863872564958399</v>
      </c>
      <c r="I5" s="16">
        <v>57.41141363788779</v>
      </c>
      <c r="J5" s="16">
        <v>26</v>
      </c>
      <c r="K5" s="16">
        <v>0.13771354476645351</v>
      </c>
      <c r="L5" s="16">
        <v>1.2307022584480201</v>
      </c>
    </row>
    <row r="6" spans="2:22" x14ac:dyDescent="0.3">
      <c r="B6" s="16">
        <v>0.75</v>
      </c>
      <c r="C6" s="16">
        <v>0.11742221717459934</v>
      </c>
      <c r="D6" s="16">
        <v>7.7736866894088322E-3</v>
      </c>
      <c r="E6" s="16">
        <v>50.238175942453665</v>
      </c>
      <c r="F6" s="16">
        <v>18.495263231853045</v>
      </c>
      <c r="G6" s="16">
        <v>48.870671154301007</v>
      </c>
      <c r="H6" s="16">
        <v>58.87250352156601</v>
      </c>
      <c r="I6" s="16">
        <v>57.419833168045585</v>
      </c>
      <c r="J6" s="16">
        <v>26</v>
      </c>
      <c r="K6" s="16">
        <v>0.13720776102482798</v>
      </c>
      <c r="L6" s="16">
        <v>1.2261822296145422</v>
      </c>
    </row>
    <row r="7" spans="2:22" x14ac:dyDescent="0.3">
      <c r="B7" s="16">
        <v>0.8</v>
      </c>
      <c r="C7" s="16">
        <v>0.1284924867425066</v>
      </c>
      <c r="D7" s="16">
        <v>7.743888671611427E-3</v>
      </c>
      <c r="E7" s="16">
        <v>52.537872183380308</v>
      </c>
      <c r="F7" s="16">
        <v>19.392303833181266</v>
      </c>
      <c r="G7" s="16">
        <v>51.236262914607892</v>
      </c>
      <c r="H7" s="16">
        <v>58.881157472721988</v>
      </c>
      <c r="I7" s="16">
        <v>57.428275129924344</v>
      </c>
      <c r="J7" s="16">
        <v>26</v>
      </c>
      <c r="K7" s="16">
        <v>0.13670191281265232</v>
      </c>
      <c r="L7" s="16">
        <v>1.2216616246282117</v>
      </c>
    </row>
    <row r="8" spans="2:22" x14ac:dyDescent="0.3">
      <c r="B8" s="16">
        <v>0.85</v>
      </c>
      <c r="C8" s="16">
        <v>0.13956278198500702</v>
      </c>
      <c r="D8" s="16">
        <v>7.7140927853093831E-3</v>
      </c>
      <c r="E8" s="16">
        <v>54.642345188567177</v>
      </c>
      <c r="F8" s="16">
        <v>20.213193673801996</v>
      </c>
      <c r="G8" s="16">
        <v>53.401036935557514</v>
      </c>
      <c r="H8" s="16">
        <v>58.889834571503116</v>
      </c>
      <c r="I8" s="16">
        <v>57.436739672854706</v>
      </c>
      <c r="J8" s="16">
        <v>26</v>
      </c>
      <c r="K8" s="16">
        <v>0.13619600112778463</v>
      </c>
      <c r="L8" s="16">
        <v>1.2171404524065699</v>
      </c>
    </row>
    <row r="9" spans="2:22" x14ac:dyDescent="0.3">
      <c r="B9" s="16">
        <v>0.9</v>
      </c>
      <c r="C9" s="16">
        <v>0.15063310366538565</v>
      </c>
      <c r="D9" s="16">
        <v>7.684299236637172E-3</v>
      </c>
      <c r="E9" s="16">
        <v>56.575443092400867</v>
      </c>
      <c r="F9" s="16">
        <v>20.967235070973341</v>
      </c>
      <c r="G9" s="16">
        <v>55.389524438458395</v>
      </c>
      <c r="H9" s="16">
        <v>58.898534933099697</v>
      </c>
      <c r="I9" s="16">
        <v>57.445226909208898</v>
      </c>
      <c r="J9" s="16">
        <v>26</v>
      </c>
      <c r="K9" s="16">
        <v>0.13569002927177837</v>
      </c>
      <c r="L9" s="16">
        <v>1.2126187424545529</v>
      </c>
    </row>
    <row r="15" spans="2:22" x14ac:dyDescent="0.3">
      <c r="B15" s="17" t="s">
        <v>77</v>
      </c>
      <c r="C15" s="17" t="s">
        <v>8</v>
      </c>
      <c r="D15" s="17" t="s">
        <v>9</v>
      </c>
      <c r="E15" s="17" t="s">
        <v>10</v>
      </c>
      <c r="F15" s="17" t="s">
        <v>11</v>
      </c>
      <c r="G15" s="17" t="s">
        <v>92</v>
      </c>
      <c r="H15" s="17" t="s">
        <v>12</v>
      </c>
      <c r="I15" s="17" t="s">
        <v>13</v>
      </c>
      <c r="J15" s="17" t="s">
        <v>93</v>
      </c>
      <c r="K15" s="17" t="s">
        <v>14</v>
      </c>
      <c r="L15" s="17" t="s">
        <v>94</v>
      </c>
      <c r="M15" s="17" t="s">
        <v>15</v>
      </c>
      <c r="N15" s="17" t="s">
        <v>16</v>
      </c>
      <c r="O15" s="17" t="s">
        <v>17</v>
      </c>
      <c r="P15" s="17" t="s">
        <v>18</v>
      </c>
      <c r="Q15" s="17" t="s">
        <v>95</v>
      </c>
      <c r="R15" s="17" t="s">
        <v>19</v>
      </c>
      <c r="S15" s="17" t="s">
        <v>96</v>
      </c>
      <c r="T15" s="17" t="s">
        <v>20</v>
      </c>
      <c r="U15" s="17" t="s">
        <v>121</v>
      </c>
      <c r="V15" s="17" t="s">
        <v>21</v>
      </c>
    </row>
    <row r="16" spans="2:22" x14ac:dyDescent="0.3">
      <c r="B16" s="16">
        <v>0.6</v>
      </c>
      <c r="C16" s="16">
        <v>3.1885506685029612</v>
      </c>
      <c r="D16" s="16">
        <v>1.0438763107473461</v>
      </c>
      <c r="E16" s="16">
        <v>8.6102319558728482</v>
      </c>
      <c r="F16" s="16">
        <v>15.551202889850712</v>
      </c>
      <c r="G16" s="16">
        <v>1.1115831277611814</v>
      </c>
      <c r="H16" s="16">
        <v>4.8281167891059305</v>
      </c>
      <c r="I16" s="16">
        <v>9.3526697515099073</v>
      </c>
      <c r="J16" s="16">
        <v>79.195967005262375</v>
      </c>
      <c r="K16" s="16">
        <v>212.45529917849188</v>
      </c>
      <c r="L16" s="16">
        <v>91.682455189337773</v>
      </c>
      <c r="M16" s="16">
        <v>3.1149417500136498</v>
      </c>
      <c r="N16" s="16">
        <v>2.4590399198083133</v>
      </c>
      <c r="O16" s="16">
        <v>10.362045100531315</v>
      </c>
      <c r="P16" s="16">
        <v>4.8851662034555785</v>
      </c>
      <c r="Q16" s="16">
        <v>9.0361665491794604E-4</v>
      </c>
      <c r="R16" s="16">
        <v>0.92839153384896267</v>
      </c>
      <c r="S16" s="16">
        <v>-1.8437574346038494</v>
      </c>
      <c r="T16" s="16">
        <v>531.13824794622963</v>
      </c>
      <c r="U16" s="16">
        <v>3.3293594659212076</v>
      </c>
      <c r="V16" s="16">
        <v>450.25604302207307</v>
      </c>
    </row>
    <row r="17" spans="2:22" x14ac:dyDescent="0.3">
      <c r="B17" s="16">
        <v>0.65</v>
      </c>
      <c r="C17" s="16">
        <v>3.1856026611351265</v>
      </c>
      <c r="D17" s="16">
        <v>1.0478213709567898</v>
      </c>
      <c r="E17" s="16">
        <v>7.5444300571883796</v>
      </c>
      <c r="F17" s="16">
        <v>13.641822894306621</v>
      </c>
      <c r="G17" s="16">
        <v>1.1082559641090983</v>
      </c>
      <c r="H17" s="16">
        <v>4.7738608169536452</v>
      </c>
      <c r="I17" s="16">
        <v>9.2547297393386696</v>
      </c>
      <c r="J17" s="16">
        <v>83.462458846272</v>
      </c>
      <c r="K17" s="16">
        <v>223.90081635317406</v>
      </c>
      <c r="L17" s="16">
        <v>96.731337537772518</v>
      </c>
      <c r="M17" s="16">
        <v>3.1154534616739804</v>
      </c>
      <c r="N17" s="16">
        <v>2.4639194285192669</v>
      </c>
      <c r="O17" s="16">
        <v>10.306141862922569</v>
      </c>
      <c r="P17" s="16">
        <v>4.8554018582622822</v>
      </c>
      <c r="Q17" s="16">
        <v>9.009007712257064E-4</v>
      </c>
      <c r="R17" s="16">
        <v>0.92399223502528893</v>
      </c>
      <c r="S17" s="16">
        <v>-1.8466625091399864</v>
      </c>
      <c r="T17" s="16">
        <v>559.75204088293515</v>
      </c>
      <c r="U17" s="16">
        <v>3.3160809731247927</v>
      </c>
      <c r="V17" s="16">
        <v>467.78636445236623</v>
      </c>
    </row>
    <row r="18" spans="2:22" x14ac:dyDescent="0.3">
      <c r="B18" s="16">
        <v>0.7</v>
      </c>
      <c r="C18" s="16">
        <v>3.1826444550567756</v>
      </c>
      <c r="D18" s="16">
        <v>1.0517772748712815</v>
      </c>
      <c r="E18" s="16">
        <v>6.4756703599588947</v>
      </c>
      <c r="F18" s="16">
        <v>11.722797219174215</v>
      </c>
      <c r="G18" s="16">
        <v>1.1049234750247561</v>
      </c>
      <c r="H18" s="16">
        <v>4.71920413147111</v>
      </c>
      <c r="I18" s="16">
        <v>9.1570271064838735</v>
      </c>
      <c r="J18" s="16">
        <v>87.728994646362665</v>
      </c>
      <c r="K18" s="16">
        <v>235.34645145481733</v>
      </c>
      <c r="L18" s="16">
        <v>101.79288253725483</v>
      </c>
      <c r="M18" s="16">
        <v>3.1159523417777462</v>
      </c>
      <c r="N18" s="16">
        <v>2.4688128090009003</v>
      </c>
      <c r="O18" s="16">
        <v>10.250323800790419</v>
      </c>
      <c r="P18" s="16">
        <v>4.8257715495631963</v>
      </c>
      <c r="Q18" s="16">
        <v>8.9818063269454654E-4</v>
      </c>
      <c r="R18" s="16">
        <v>0.91960136568056761</v>
      </c>
      <c r="S18" s="16">
        <v>-1.8495797963152276</v>
      </c>
      <c r="T18" s="16">
        <v>588.36612863704318</v>
      </c>
      <c r="U18" s="16">
        <v>3.3028065358073517</v>
      </c>
      <c r="V18" s="16">
        <v>485.31695944741341</v>
      </c>
    </row>
    <row r="19" spans="2:22" x14ac:dyDescent="0.3">
      <c r="B19" s="16">
        <v>0.75</v>
      </c>
      <c r="C19" s="16">
        <v>3.1796759917278905</v>
      </c>
      <c r="D19" s="16">
        <v>1.0557440776822804</v>
      </c>
      <c r="E19" s="16">
        <v>5.4039352110712793</v>
      </c>
      <c r="F19" s="16">
        <v>9.7940194828991078</v>
      </c>
      <c r="G19" s="16">
        <v>1.1015856640998944</v>
      </c>
      <c r="H19" s="16">
        <v>4.6641478209078198</v>
      </c>
      <c r="I19" s="16">
        <v>9.0595629791778052</v>
      </c>
      <c r="J19" s="16">
        <v>91.995574525781194</v>
      </c>
      <c r="K19" s="16">
        <v>246.79220480600199</v>
      </c>
      <c r="L19" s="16">
        <v>106.86721213527193</v>
      </c>
      <c r="M19" s="16">
        <v>3.1164382479094836</v>
      </c>
      <c r="N19" s="16">
        <v>2.4737200889304032</v>
      </c>
      <c r="O19" s="16">
        <v>10.194591485539634</v>
      </c>
      <c r="P19" s="16">
        <v>4.7962748915086886</v>
      </c>
      <c r="Q19" s="16">
        <v>8.9545624248824843E-4</v>
      </c>
      <c r="R19" s="16">
        <v>0.91521892164972585</v>
      </c>
      <c r="S19" s="16">
        <v>-1.8525093332924134</v>
      </c>
      <c r="T19" s="16">
        <v>616.98051201500505</v>
      </c>
      <c r="U19" s="16">
        <v>3.2895362100393175</v>
      </c>
      <c r="V19" s="16">
        <v>502.84782866314856</v>
      </c>
    </row>
    <row r="20" spans="2:22" x14ac:dyDescent="0.3">
      <c r="B20" s="16">
        <v>0.8</v>
      </c>
      <c r="C20" s="16">
        <v>3.1766972121346844</v>
      </c>
      <c r="D20" s="16">
        <v>1.0597218350240001</v>
      </c>
      <c r="E20" s="16">
        <v>4.3292067936635572</v>
      </c>
      <c r="F20" s="16">
        <v>7.8553814543741751</v>
      </c>
      <c r="G20" s="16">
        <v>1.0982430498994591</v>
      </c>
      <c r="H20" s="16">
        <v>4.6086931025683295</v>
      </c>
      <c r="I20" s="16">
        <v>8.9623384882152894</v>
      </c>
      <c r="J20" s="16">
        <v>96.262198605157224</v>
      </c>
      <c r="K20" s="16">
        <v>258.23807673033571</v>
      </c>
      <c r="L20" s="16">
        <v>111.95445016030466</v>
      </c>
      <c r="M20" s="16">
        <v>3.1169110362992152</v>
      </c>
      <c r="N20" s="16">
        <v>2.4786412959014443</v>
      </c>
      <c r="O20" s="16">
        <v>10.138945489990787</v>
      </c>
      <c r="P20" s="16">
        <v>4.7669109809012475</v>
      </c>
      <c r="Q20" s="16">
        <v>8.9272760389944321E-4</v>
      </c>
      <c r="R20" s="16">
        <v>0.91084489976972427</v>
      </c>
      <c r="S20" s="16">
        <v>-1.8554511571884387</v>
      </c>
      <c r="T20" s="16">
        <v>645.59519182583927</v>
      </c>
      <c r="U20" s="16">
        <v>3.2762700522924897</v>
      </c>
      <c r="V20" s="16">
        <v>520.37897275724754</v>
      </c>
    </row>
    <row r="21" spans="2:22" x14ac:dyDescent="0.3">
      <c r="B21" s="16">
        <v>0.85</v>
      </c>
      <c r="C21" s="16">
        <v>3.1737080391990968</v>
      </c>
      <c r="D21" s="16">
        <v>1.0637106287563038</v>
      </c>
      <c r="E21" s="16">
        <v>3.2514671250847167</v>
      </c>
      <c r="F21" s="16">
        <v>5.9067693275598581</v>
      </c>
      <c r="G21" s="16">
        <v>1.0948945809626529</v>
      </c>
      <c r="H21" s="16">
        <v>4.5528544882684363</v>
      </c>
      <c r="I21" s="16">
        <v>8.8653546420253981</v>
      </c>
      <c r="J21" s="16">
        <v>100.52887198471164</v>
      </c>
      <c r="K21" s="16">
        <v>269.68408090994143</v>
      </c>
      <c r="L21" s="16">
        <v>117.05472843049664</v>
      </c>
      <c r="M21" s="16">
        <v>3.1173705524792377</v>
      </c>
      <c r="N21" s="16">
        <v>2.4835764574245141</v>
      </c>
      <c r="O21" s="16">
        <v>10.083386332505116</v>
      </c>
      <c r="P21" s="16">
        <v>4.7376804527316398</v>
      </c>
      <c r="Q21" s="16">
        <v>8.8999471541966455E-4</v>
      </c>
      <c r="R21" s="16">
        <v>0.90647929000459382</v>
      </c>
      <c r="S21" s="16">
        <v>-1.8584053164823766</v>
      </c>
      <c r="T21" s="16">
        <v>674.21020227485337</v>
      </c>
      <c r="U21" s="16">
        <v>3.2630081004215148</v>
      </c>
      <c r="V21" s="16">
        <v>537.91042602080574</v>
      </c>
    </row>
    <row r="22" spans="2:22" x14ac:dyDescent="0.3">
      <c r="B22" s="16">
        <v>0.9</v>
      </c>
      <c r="C22" s="16">
        <v>3.1707084507537511</v>
      </c>
      <c r="D22" s="16">
        <v>1.0677104599818412</v>
      </c>
      <c r="E22" s="16">
        <v>2.1706980548234425</v>
      </c>
      <c r="F22" s="16">
        <v>3.9480789449175355</v>
      </c>
      <c r="G22" s="16">
        <v>1.091540809577048</v>
      </c>
      <c r="H22" s="16">
        <v>4.4966051596002652</v>
      </c>
      <c r="I22" s="16">
        <v>8.768612854060164</v>
      </c>
      <c r="J22" s="16">
        <v>104.79558407176074</v>
      </c>
      <c r="K22" s="16">
        <v>281.130188928324</v>
      </c>
      <c r="L22" s="16">
        <v>122.16816161023768</v>
      </c>
      <c r="M22" s="16">
        <v>3.117816669947155</v>
      </c>
      <c r="N22" s="16">
        <v>2.4885256009247194</v>
      </c>
      <c r="O22" s="16">
        <v>10.027914709061532</v>
      </c>
      <c r="P22" s="16">
        <v>4.708582436740417</v>
      </c>
      <c r="Q22" s="16">
        <v>8.8725759121543654E-4</v>
      </c>
      <c r="R22" s="16">
        <v>0.902122100229935</v>
      </c>
      <c r="S22" s="16">
        <v>-1.8613718236550516</v>
      </c>
      <c r="T22" s="16">
        <v>702.82547232081004</v>
      </c>
      <c r="U22" s="16">
        <v>3.2497504526612584</v>
      </c>
      <c r="V22" s="16">
        <v>555.4421167475374</v>
      </c>
    </row>
    <row r="28" spans="2:22" x14ac:dyDescent="0.3">
      <c r="B28" s="17" t="s">
        <v>77</v>
      </c>
      <c r="C28" s="17" t="s">
        <v>118</v>
      </c>
      <c r="D28" s="17" t="s">
        <v>119</v>
      </c>
      <c r="E28" s="17" t="s">
        <v>120</v>
      </c>
      <c r="F28" s="17" t="s">
        <v>123</v>
      </c>
      <c r="G28" s="17" t="s">
        <v>125</v>
      </c>
      <c r="H28" s="17" t="s">
        <v>124</v>
      </c>
    </row>
    <row r="29" spans="2:22" x14ac:dyDescent="0.3">
      <c r="B29" s="16">
        <v>0.6</v>
      </c>
      <c r="C29" s="16">
        <v>0.84771911035044722</v>
      </c>
      <c r="D29" s="16">
        <v>5.5682400216419365</v>
      </c>
      <c r="E29" s="16">
        <v>0.17958995950485709</v>
      </c>
      <c r="F29" s="16">
        <v>1.0912725075627298E-2</v>
      </c>
      <c r="G29" s="16">
        <v>0.64391845139513226</v>
      </c>
      <c r="H29" s="16">
        <v>15.228088964955266</v>
      </c>
      <c r="I29" s="16">
        <v>0.19083273687724442</v>
      </c>
      <c r="J29" s="16">
        <v>0.24494005524217421</v>
      </c>
      <c r="K29" s="16">
        <v>8.6858968078692311E-2</v>
      </c>
    </row>
    <row r="30" spans="2:22" x14ac:dyDescent="0.3">
      <c r="B30" s="16">
        <v>0.65</v>
      </c>
      <c r="C30" s="16">
        <v>0.83570282962165687</v>
      </c>
      <c r="D30" s="16">
        <v>5.0876752976440773</v>
      </c>
      <c r="E30" s="16">
        <v>0.19655342400940262</v>
      </c>
      <c r="F30" s="16">
        <v>1.0917832748512973E-2</v>
      </c>
      <c r="G30" s="16">
        <v>0.64419840294599606</v>
      </c>
      <c r="H30" s="16">
        <v>16.429717037834322</v>
      </c>
      <c r="I30" s="16">
        <v>0.17425836060946925</v>
      </c>
      <c r="J30" s="16">
        <v>0.23053244101116269</v>
      </c>
      <c r="K30" s="16">
        <v>7.860907429569669E-2</v>
      </c>
    </row>
    <row r="31" spans="2:22" x14ac:dyDescent="0.3">
      <c r="B31" s="16">
        <v>0.7</v>
      </c>
      <c r="C31" s="16">
        <v>0.82485536781604962</v>
      </c>
      <c r="D31" s="16">
        <v>4.7105080883442261</v>
      </c>
      <c r="E31" s="16">
        <v>0.21229132425744468</v>
      </c>
      <c r="F31" s="16">
        <v>1.0922427251248833E-2</v>
      </c>
      <c r="G31" s="16">
        <v>0.6444502276409485</v>
      </c>
      <c r="H31" s="16">
        <v>17.514463218395036</v>
      </c>
      <c r="I31" s="16">
        <v>0.16132366298600376</v>
      </c>
      <c r="J31" s="16">
        <v>0.21924753851545725</v>
      </c>
      <c r="K31" s="16">
        <v>7.2149608613530661E-2</v>
      </c>
    </row>
    <row r="32" spans="2:22" x14ac:dyDescent="0.3">
      <c r="B32" s="16">
        <v>0.75</v>
      </c>
      <c r="C32" s="16">
        <v>0.81501411936155166</v>
      </c>
      <c r="D32" s="16">
        <v>4.4066100014078859</v>
      </c>
      <c r="E32" s="16">
        <v>0.22693181372540477</v>
      </c>
      <c r="F32" s="16">
        <v>1.0926582439557082E-2</v>
      </c>
      <c r="G32" s="16">
        <v>0.64467797351212375</v>
      </c>
      <c r="H32" s="16">
        <v>18.498588063844835</v>
      </c>
      <c r="I32" s="16">
        <v>0.15102741645822146</v>
      </c>
      <c r="J32" s="16">
        <v>0.21030068848842684</v>
      </c>
      <c r="K32" s="16">
        <v>6.70308002978134E-2</v>
      </c>
    </row>
    <row r="33" spans="2:11" x14ac:dyDescent="0.3">
      <c r="B33" s="16">
        <v>0.8</v>
      </c>
      <c r="C33" s="16">
        <v>0.8060453041565232</v>
      </c>
      <c r="D33" s="16">
        <v>4.1565216339965589</v>
      </c>
      <c r="E33" s="16">
        <v>0.24058578014388554</v>
      </c>
      <c r="F33" s="16">
        <v>1.0930358656320624E-2</v>
      </c>
      <c r="G33" s="16">
        <v>0.64488494795293339</v>
      </c>
      <c r="H33" s="16">
        <v>19.39546958434768</v>
      </c>
      <c r="I33" s="16">
        <v>0.14280424748686651</v>
      </c>
      <c r="J33" s="16">
        <v>0.2033162158912975</v>
      </c>
      <c r="K33" s="16">
        <v>6.3037490439127375E-2</v>
      </c>
    </row>
    <row r="34" spans="2:11" x14ac:dyDescent="0.3">
      <c r="B34" s="16">
        <v>0.85</v>
      </c>
      <c r="C34" s="16">
        <v>0.79783786155392133</v>
      </c>
      <c r="D34" s="16">
        <v>3.947114317654743</v>
      </c>
      <c r="E34" s="16">
        <v>0.25334964217458239</v>
      </c>
      <c r="F34" s="16">
        <v>1.0933805686844236E-2</v>
      </c>
      <c r="G34" s="16">
        <v>0.64507387969593255</v>
      </c>
      <c r="H34" s="16">
        <v>20.216213844607868</v>
      </c>
      <c r="I34" s="16">
        <v>0.13658193790215301</v>
      </c>
      <c r="J34" s="16">
        <v>0.19856393313649451</v>
      </c>
      <c r="K34" s="16">
        <v>6.032514312375873E-2</v>
      </c>
    </row>
    <row r="35" spans="2:11" x14ac:dyDescent="0.3">
      <c r="B35" s="16">
        <v>0.9</v>
      </c>
      <c r="C35" s="16">
        <v>0.79029878486532934</v>
      </c>
      <c r="D35" s="16">
        <v>3.7692083967685592</v>
      </c>
      <c r="E35" s="16">
        <v>0.26530769719639968</v>
      </c>
      <c r="F35" s="16">
        <v>1.0936964974842374E-2</v>
      </c>
      <c r="G35" s="16">
        <v>0.64524704027111057</v>
      </c>
      <c r="H35" s="16">
        <v>20.970121513467056</v>
      </c>
      <c r="I35" s="16">
        <v>0.13498053449446543</v>
      </c>
      <c r="J35" s="16">
        <v>0.20078538147008768</v>
      </c>
      <c r="K35" s="16">
        <v>6.1618112153100937E-2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148A7-EAA7-4F28-BBF6-02D6EA60B99E}">
  <dimension ref="B2:V35"/>
  <sheetViews>
    <sheetView topLeftCell="A17" workbookViewId="0">
      <selection activeCell="B29" sqref="B29:K35"/>
    </sheetView>
  </sheetViews>
  <sheetFormatPr baseColWidth="10" defaultRowHeight="14.4" x14ac:dyDescent="0.3"/>
  <cols>
    <col min="1" max="16384" width="11.5546875" style="16"/>
  </cols>
  <sheetData>
    <row r="2" spans="2:22" x14ac:dyDescent="0.3">
      <c r="B2" s="17" t="s">
        <v>241</v>
      </c>
      <c r="C2" s="17" t="s">
        <v>90</v>
      </c>
      <c r="D2" s="17" t="s">
        <v>97</v>
      </c>
      <c r="E2" s="17" t="s">
        <v>91</v>
      </c>
      <c r="F2" s="17" t="s">
        <v>1</v>
      </c>
      <c r="G2" s="17" t="s">
        <v>2</v>
      </c>
      <c r="H2" s="17" t="s">
        <v>3</v>
      </c>
      <c r="I2" s="17" t="s">
        <v>4</v>
      </c>
      <c r="J2" s="17" t="s">
        <v>5</v>
      </c>
      <c r="K2" s="17" t="s">
        <v>6</v>
      </c>
      <c r="L2" s="17" t="s">
        <v>7</v>
      </c>
    </row>
    <row r="3" spans="2:22" x14ac:dyDescent="0.3">
      <c r="B3" s="16">
        <v>0.6</v>
      </c>
      <c r="C3" s="16">
        <v>0.13086918068201137</v>
      </c>
      <c r="D3" s="16">
        <v>8.8141654444115064E-3</v>
      </c>
      <c r="E3" s="16">
        <v>49.878796554537026</v>
      </c>
      <c r="F3" s="16">
        <v>18.373195861739831</v>
      </c>
      <c r="G3" s="16">
        <v>48.55024975892259</v>
      </c>
      <c r="H3" s="16">
        <v>59.939503250288105</v>
      </c>
      <c r="I3" s="16">
        <v>58.915291415536807</v>
      </c>
      <c r="J3" s="16">
        <v>70.467849346491846</v>
      </c>
      <c r="K3" s="16">
        <v>0.15971887375195662</v>
      </c>
      <c r="L3" s="16">
        <v>1.4273569021599251</v>
      </c>
    </row>
    <row r="4" spans="2:22" x14ac:dyDescent="0.3">
      <c r="B4" s="16">
        <v>0.65</v>
      </c>
      <c r="C4" s="16">
        <v>0.13701888853317393</v>
      </c>
      <c r="D4" s="16">
        <v>8.5397213545798153E-3</v>
      </c>
      <c r="E4" s="16">
        <v>51.771991448655704</v>
      </c>
      <c r="F4" s="16">
        <v>19.112016134944927</v>
      </c>
      <c r="G4" s="16">
        <v>50.498588452935046</v>
      </c>
      <c r="H4" s="16">
        <v>60.017837430327823</v>
      </c>
      <c r="I4" s="16">
        <v>58.995465876775796</v>
      </c>
      <c r="J4" s="16">
        <v>70.733893942291786</v>
      </c>
      <c r="K4" s="16">
        <v>0.15495749590016775</v>
      </c>
      <c r="L4" s="16">
        <v>1.3848059788977394</v>
      </c>
    </row>
    <row r="5" spans="2:22" x14ac:dyDescent="0.3">
      <c r="B5" s="16">
        <v>0.7</v>
      </c>
      <c r="C5" s="16">
        <v>0.14230508065956135</v>
      </c>
      <c r="D5" s="16">
        <v>8.3060695450992046E-3</v>
      </c>
      <c r="E5" s="16">
        <v>53.3638629940382</v>
      </c>
      <c r="F5" s="16">
        <v>19.733270889997033</v>
      </c>
      <c r="G5" s="16">
        <v>52.13688786586652</v>
      </c>
      <c r="H5" s="16">
        <v>60.08613937444035</v>
      </c>
      <c r="I5" s="16">
        <v>59.065367664064738</v>
      </c>
      <c r="J5" s="16">
        <v>70.964246217707341</v>
      </c>
      <c r="K5" s="16">
        <v>0.15089733089748819</v>
      </c>
      <c r="L5" s="16">
        <v>1.3485215724005901</v>
      </c>
    </row>
    <row r="6" spans="2:22" x14ac:dyDescent="0.3">
      <c r="B6" s="16">
        <v>0.75</v>
      </c>
      <c r="C6" s="16">
        <v>0.14689827318466656</v>
      </c>
      <c r="D6" s="16">
        <v>8.1049138972325522E-3</v>
      </c>
      <c r="E6" s="16">
        <v>54.719894700628537</v>
      </c>
      <c r="F6" s="16">
        <v>20.26250383624782</v>
      </c>
      <c r="G6" s="16">
        <v>53.532512389537942</v>
      </c>
      <c r="H6" s="16">
        <v>60.146201421712384</v>
      </c>
      <c r="I6" s="16">
        <v>59.126833228739414</v>
      </c>
      <c r="J6" s="16">
        <v>71.165602215361275</v>
      </c>
      <c r="K6" s="16">
        <v>0.1473969837068114</v>
      </c>
      <c r="L6" s="16">
        <v>1.3172400800809798</v>
      </c>
    </row>
    <row r="7" spans="2:22" x14ac:dyDescent="0.3">
      <c r="B7" s="16">
        <v>0.8</v>
      </c>
      <c r="C7" s="16">
        <v>0.15092661980778518</v>
      </c>
      <c r="D7" s="16">
        <v>7.9300370676916587E-3</v>
      </c>
      <c r="E7" s="16">
        <v>55.888023789679387</v>
      </c>
      <c r="F7" s="16">
        <v>20.718416133758716</v>
      </c>
      <c r="G7" s="16">
        <v>54.734780717393491</v>
      </c>
      <c r="H7" s="16">
        <v>60.199415246228241</v>
      </c>
      <c r="I7" s="16">
        <v>59.18128830008709</v>
      </c>
      <c r="J7" s="16">
        <v>71.343096511252043</v>
      </c>
      <c r="K7" s="16">
        <v>0.14435020648564711</v>
      </c>
      <c r="L7" s="16">
        <v>1.2900119986788643</v>
      </c>
    </row>
    <row r="8" spans="2:22" x14ac:dyDescent="0.3">
      <c r="B8" s="16">
        <v>0.85</v>
      </c>
      <c r="C8" s="16">
        <v>0.15448837379671118</v>
      </c>
      <c r="D8" s="16">
        <v>7.7766933290369447E-3</v>
      </c>
      <c r="E8" s="16">
        <v>56.904129154565311</v>
      </c>
      <c r="F8" s="16">
        <v>21.115005816784862</v>
      </c>
      <c r="G8" s="16">
        <v>55.780608217314288</v>
      </c>
      <c r="H8" s="16">
        <v>60.246877622003723</v>
      </c>
      <c r="I8" s="16">
        <v>59.229856314830073</v>
      </c>
      <c r="J8" s="16">
        <v>71.500726935586954</v>
      </c>
      <c r="K8" s="16">
        <v>0.14167570990752862</v>
      </c>
      <c r="L8" s="16">
        <v>1.2661108712735394</v>
      </c>
    </row>
    <row r="9" spans="2:22" x14ac:dyDescent="0.3">
      <c r="B9" s="16">
        <v>0.9</v>
      </c>
      <c r="C9" s="16">
        <v>0.15766017207045593</v>
      </c>
      <c r="D9" s="16">
        <v>7.6412011923432457E-3</v>
      </c>
      <c r="E9" s="16">
        <v>57.795583221044957</v>
      </c>
      <c r="F9" s="16">
        <v>21.462952743531002</v>
      </c>
      <c r="G9" s="16">
        <v>56.698159463778808</v>
      </c>
      <c r="H9" s="16">
        <v>60.289464382137304</v>
      </c>
      <c r="I9" s="16">
        <v>59.273434254686372</v>
      </c>
      <c r="J9" s="16">
        <v>71.641649768227524</v>
      </c>
      <c r="K9" s="16">
        <v>0.13931030334092001</v>
      </c>
      <c r="L9" s="16">
        <v>1.2449719832388881</v>
      </c>
    </row>
    <row r="15" spans="2:22" x14ac:dyDescent="0.3">
      <c r="B15" s="17" t="s">
        <v>241</v>
      </c>
      <c r="C15" s="17" t="s">
        <v>8</v>
      </c>
      <c r="D15" s="17" t="s">
        <v>9</v>
      </c>
      <c r="E15" s="17" t="s">
        <v>10</v>
      </c>
      <c r="F15" s="17" t="s">
        <v>11</v>
      </c>
      <c r="G15" s="17" t="s">
        <v>92</v>
      </c>
      <c r="H15" s="17" t="s">
        <v>12</v>
      </c>
      <c r="I15" s="17" t="s">
        <v>13</v>
      </c>
      <c r="J15" s="17" t="s">
        <v>93</v>
      </c>
      <c r="K15" s="17" t="s">
        <v>14</v>
      </c>
      <c r="L15" s="17" t="s">
        <v>94</v>
      </c>
      <c r="M15" s="17" t="s">
        <v>15</v>
      </c>
      <c r="N15" s="17" t="s">
        <v>16</v>
      </c>
      <c r="O15" s="17" t="s">
        <v>17</v>
      </c>
      <c r="P15" s="17" t="s">
        <v>18</v>
      </c>
      <c r="Q15" s="17" t="s">
        <v>95</v>
      </c>
      <c r="R15" s="17" t="s">
        <v>19</v>
      </c>
      <c r="S15" s="17" t="s">
        <v>96</v>
      </c>
      <c r="T15" s="17" t="s">
        <v>20</v>
      </c>
      <c r="U15" s="17" t="s">
        <v>121</v>
      </c>
      <c r="V15" s="17" t="s">
        <v>21</v>
      </c>
    </row>
    <row r="16" spans="2:22" x14ac:dyDescent="0.3">
      <c r="B16" s="16">
        <v>0.6</v>
      </c>
      <c r="C16" s="16">
        <v>17.223530390651401</v>
      </c>
      <c r="D16" s="16">
        <v>5.1037799140514002</v>
      </c>
      <c r="E16" s="16">
        <v>1.5424567100955173</v>
      </c>
      <c r="F16" s="16">
        <v>2.8073738467151998</v>
      </c>
      <c r="G16" s="16">
        <v>1.2108751990759339</v>
      </c>
      <c r="H16" s="16">
        <v>1.1047199639898608</v>
      </c>
      <c r="I16" s="16">
        <v>9.283773488135834</v>
      </c>
      <c r="J16" s="16">
        <v>103.26946782608539</v>
      </c>
      <c r="K16" s="16">
        <v>277.03614858994956</v>
      </c>
      <c r="L16" s="16">
        <v>120.25045822234905</v>
      </c>
      <c r="M16" s="16">
        <v>5.0117925165671998E-2</v>
      </c>
      <c r="N16" s="16">
        <v>2.291782343488102E-2</v>
      </c>
      <c r="O16" s="16">
        <v>12.258929861073378</v>
      </c>
      <c r="P16" s="16">
        <v>5.9683119542030285</v>
      </c>
      <c r="Q16" s="16">
        <v>9.8477814386777594E-4</v>
      </c>
      <c r="R16" s="16">
        <v>1.0776192924360903</v>
      </c>
      <c r="S16" s="16">
        <v>3.5044989063272931</v>
      </c>
      <c r="T16" s="16">
        <v>692.59037147487402</v>
      </c>
      <c r="U16" s="16">
        <v>3.5995421709049547</v>
      </c>
      <c r="V16" s="16">
        <v>565.3155068627882</v>
      </c>
    </row>
    <row r="17" spans="2:22" x14ac:dyDescent="0.3">
      <c r="B17" s="16">
        <v>0.65</v>
      </c>
      <c r="C17" s="16">
        <v>13.889071706783179</v>
      </c>
      <c r="D17" s="16">
        <v>4.246121653805341</v>
      </c>
      <c r="E17" s="16">
        <v>1.5424567100955173</v>
      </c>
      <c r="F17" s="16">
        <v>2.8073738467151998</v>
      </c>
      <c r="G17" s="16">
        <v>1.1826470103258144</v>
      </c>
      <c r="H17" s="16">
        <v>1.7916358617457444</v>
      </c>
      <c r="I17" s="16">
        <v>9.1736007419972747</v>
      </c>
      <c r="J17" s="16">
        <v>104.16842351101462</v>
      </c>
      <c r="K17" s="16">
        <v>279.44773476298229</v>
      </c>
      <c r="L17" s="16">
        <v>121.34712487858563</v>
      </c>
      <c r="M17" s="16">
        <v>5.077422903846187E-2</v>
      </c>
      <c r="N17" s="16">
        <v>2.3373621735010557E-2</v>
      </c>
      <c r="O17" s="16">
        <v>11.70689884570481</v>
      </c>
      <c r="P17" s="16">
        <v>5.6409449889946401</v>
      </c>
      <c r="Q17" s="16">
        <v>9.6169692888734557E-4</v>
      </c>
      <c r="R17" s="16">
        <v>1.0337214813555018</v>
      </c>
      <c r="S17" s="16">
        <v>3.5424556315454323</v>
      </c>
      <c r="T17" s="16">
        <v>698.61933690745582</v>
      </c>
      <c r="U17" s="16">
        <v>3.48060805566681</v>
      </c>
      <c r="V17" s="16">
        <v>565.07592923502034</v>
      </c>
    </row>
    <row r="18" spans="2:22" x14ac:dyDescent="0.3">
      <c r="B18" s="16">
        <v>0.7</v>
      </c>
      <c r="C18" s="16">
        <v>11.038113043195452</v>
      </c>
      <c r="D18" s="16">
        <v>3.4658458866495603</v>
      </c>
      <c r="E18" s="16">
        <v>1.5424567100955173</v>
      </c>
      <c r="F18" s="16">
        <v>2.8073738467151998</v>
      </c>
      <c r="G18" s="16">
        <v>1.1582224463140447</v>
      </c>
      <c r="H18" s="16">
        <v>2.4307471421233493</v>
      </c>
      <c r="I18" s="16">
        <v>9.0667993777505469</v>
      </c>
      <c r="J18" s="16">
        <v>104.95996261811557</v>
      </c>
      <c r="K18" s="16">
        <v>281.5711595302995</v>
      </c>
      <c r="L18" s="16">
        <v>122.31369926104054</v>
      </c>
      <c r="M18" s="16">
        <v>5.134475467344897E-2</v>
      </c>
      <c r="N18" s="16">
        <v>2.377184156378501E-2</v>
      </c>
      <c r="O18" s="16">
        <v>11.242094633094244</v>
      </c>
      <c r="P18" s="16">
        <v>5.3734938759397997</v>
      </c>
      <c r="Q18" s="16">
        <v>9.4173270359819037E-4</v>
      </c>
      <c r="R18" s="16">
        <v>0.99701597907764994</v>
      </c>
      <c r="S18" s="16">
        <v>3.5747344392650797</v>
      </c>
      <c r="T18" s="16">
        <v>703.92789882574857</v>
      </c>
      <c r="U18" s="16">
        <v>3.379562304940662</v>
      </c>
      <c r="V18" s="16">
        <v>564.99733942355761</v>
      </c>
    </row>
    <row r="19" spans="2:22" x14ac:dyDescent="0.3">
      <c r="B19" s="16">
        <v>0.75</v>
      </c>
      <c r="C19" s="16">
        <v>8.5735098078966985</v>
      </c>
      <c r="D19" s="16">
        <v>2.7546230259247095</v>
      </c>
      <c r="E19" s="16">
        <v>1.5424567100955173</v>
      </c>
      <c r="F19" s="16">
        <v>2.8073738467151998</v>
      </c>
      <c r="G19" s="16">
        <v>1.1369071821082999</v>
      </c>
      <c r="H19" s="16">
        <v>3.0237047411040985</v>
      </c>
      <c r="I19" s="16">
        <v>8.9651619450555877</v>
      </c>
      <c r="J19" s="16">
        <v>105.66276220008064</v>
      </c>
      <c r="K19" s="16">
        <v>283.45652694350355</v>
      </c>
      <c r="L19" s="16">
        <v>123.1726580633815</v>
      </c>
      <c r="M19" s="16">
        <v>5.1845176613273189E-2</v>
      </c>
      <c r="N19" s="16">
        <v>2.4122638880794574E-2</v>
      </c>
      <c r="O19" s="16">
        <v>10.845814830466487</v>
      </c>
      <c r="P19" s="16">
        <v>5.1512288603062899</v>
      </c>
      <c r="Q19" s="16">
        <v>9.2431500080570217E-4</v>
      </c>
      <c r="R19" s="16">
        <v>0.96589147864161762</v>
      </c>
      <c r="S19" s="16">
        <v>3.6025669776936748</v>
      </c>
      <c r="T19" s="16">
        <v>708.64131735875878</v>
      </c>
      <c r="U19" s="16">
        <v>3.2927275709515644</v>
      </c>
      <c r="V19" s="16">
        <v>565.03080631442015</v>
      </c>
    </row>
    <row r="20" spans="2:22" x14ac:dyDescent="0.3">
      <c r="B20" s="16">
        <v>0.8</v>
      </c>
      <c r="C20" s="16">
        <v>6.4222094453439347</v>
      </c>
      <c r="D20" s="16">
        <v>2.104979688397314</v>
      </c>
      <c r="E20" s="16">
        <v>1.5424567100955173</v>
      </c>
      <c r="F20" s="16">
        <v>2.8073738467151998</v>
      </c>
      <c r="G20" s="16">
        <v>1.1181613002894637</v>
      </c>
      <c r="H20" s="16">
        <v>3.5733140356715887</v>
      </c>
      <c r="I20" s="16">
        <v>8.8694633253153885</v>
      </c>
      <c r="J20" s="16">
        <v>106.29127448128449</v>
      </c>
      <c r="K20" s="16">
        <v>285.14260730579838</v>
      </c>
      <c r="L20" s="16">
        <v>123.94142024869507</v>
      </c>
      <c r="M20" s="16">
        <v>5.2287609979356685E-2</v>
      </c>
      <c r="N20" s="16">
        <v>2.4433948167301087E-2</v>
      </c>
      <c r="O20" s="16">
        <v>10.504258527002829</v>
      </c>
      <c r="P20" s="16">
        <v>4.9638129009404244</v>
      </c>
      <c r="Q20" s="16">
        <v>9.0900061105456586E-4</v>
      </c>
      <c r="R20" s="16">
        <v>0.93918089232948121</v>
      </c>
      <c r="S20" s="16">
        <v>3.6268565995228084</v>
      </c>
      <c r="T20" s="16">
        <v>712.85651826449589</v>
      </c>
      <c r="U20" s="16">
        <v>3.2173570937397304</v>
      </c>
      <c r="V20" s="16">
        <v>565.14235695989919</v>
      </c>
    </row>
    <row r="21" spans="2:22" x14ac:dyDescent="0.3">
      <c r="B21" s="16">
        <v>0.85</v>
      </c>
      <c r="C21" s="16">
        <v>4.528303001585213</v>
      </c>
      <c r="D21" s="16">
        <v>1.5102579346330967</v>
      </c>
      <c r="E21" s="16">
        <v>1.5424567100955173</v>
      </c>
      <c r="F21" s="16">
        <v>2.8073738467151998</v>
      </c>
      <c r="G21" s="16">
        <v>1.1015597781977049</v>
      </c>
      <c r="H21" s="16">
        <v>4.0828254225992717</v>
      </c>
      <c r="I21" s="16">
        <v>8.7799064915337652</v>
      </c>
      <c r="J21" s="16">
        <v>106.85689298365322</v>
      </c>
      <c r="K21" s="16">
        <v>286.65996548306083</v>
      </c>
      <c r="L21" s="16">
        <v>124.63373733801447</v>
      </c>
      <c r="M21" s="16">
        <v>5.2681552572014054E-2</v>
      </c>
      <c r="N21" s="16">
        <v>2.4712046856216502E-2</v>
      </c>
      <c r="O21" s="16">
        <v>10.207040222168093</v>
      </c>
      <c r="P21" s="16">
        <v>4.803795582538716</v>
      </c>
      <c r="Q21" s="16">
        <v>8.9544089482254826E-4</v>
      </c>
      <c r="R21" s="16">
        <v>0.91601886380869246</v>
      </c>
      <c r="S21" s="16">
        <v>3.648278080330789</v>
      </c>
      <c r="T21" s="16">
        <v>716.64991370765188</v>
      </c>
      <c r="U21" s="16">
        <v>3.1513604057888163</v>
      </c>
      <c r="V21" s="16">
        <v>565.30806118504643</v>
      </c>
    </row>
    <row r="22" spans="2:22" x14ac:dyDescent="0.3">
      <c r="B22" s="16">
        <v>0.9</v>
      </c>
      <c r="C22" s="16">
        <v>2.8483263976414599</v>
      </c>
      <c r="D22" s="16">
        <v>0.96455767849983387</v>
      </c>
      <c r="E22" s="16">
        <v>1.5424567100955173</v>
      </c>
      <c r="F22" s="16">
        <v>2.8073738467151998</v>
      </c>
      <c r="G22" s="16">
        <v>1.0867646432466844</v>
      </c>
      <c r="H22" s="16">
        <v>4.5555618020140098</v>
      </c>
      <c r="I22" s="16">
        <v>8.6963788936835122</v>
      </c>
      <c r="J22" s="16">
        <v>107.36874274104464</v>
      </c>
      <c r="K22" s="16">
        <v>288.03308077482569</v>
      </c>
      <c r="L22" s="16">
        <v>125.26063692308392</v>
      </c>
      <c r="M22" s="16">
        <v>5.3034547836876195E-2</v>
      </c>
      <c r="N22" s="16">
        <v>2.4961960101606045E-2</v>
      </c>
      <c r="O22" s="16">
        <v>9.9462077370741646</v>
      </c>
      <c r="P22" s="16">
        <v>4.6656811406944776</v>
      </c>
      <c r="Q22" s="16">
        <v>8.8335841987004747E-4</v>
      </c>
      <c r="R22" s="16">
        <v>0.89575064737944088</v>
      </c>
      <c r="S22" s="16">
        <v>3.6673441327121901</v>
      </c>
      <c r="T22" s="16">
        <v>720.08270193706414</v>
      </c>
      <c r="U22" s="16">
        <v>3.0931200591283474</v>
      </c>
      <c r="V22" s="16">
        <v>565.51086399419739</v>
      </c>
    </row>
    <row r="28" spans="2:22" x14ac:dyDescent="0.3">
      <c r="B28" s="17" t="s">
        <v>241</v>
      </c>
      <c r="C28" s="17" t="s">
        <v>118</v>
      </c>
      <c r="D28" s="17" t="s">
        <v>119</v>
      </c>
      <c r="E28" s="17" t="s">
        <v>120</v>
      </c>
      <c r="F28" s="17" t="s">
        <v>123</v>
      </c>
      <c r="G28" s="17" t="s">
        <v>125</v>
      </c>
      <c r="H28" s="17" t="s">
        <v>124</v>
      </c>
    </row>
    <row r="29" spans="2:22" x14ac:dyDescent="0.3">
      <c r="B29" s="16">
        <v>0.6</v>
      </c>
      <c r="C29" s="16">
        <v>0.8162335633672565</v>
      </c>
      <c r="D29" s="16">
        <v>4.4425236061787903</v>
      </c>
      <c r="E29" s="16">
        <v>0.22509728448244395</v>
      </c>
      <c r="F29" s="16">
        <v>1.0904188357996744E-2</v>
      </c>
      <c r="G29" s="16">
        <v>0.6434505539018015</v>
      </c>
      <c r="H29" s="16">
        <v>18.376643663274361</v>
      </c>
      <c r="I29" s="16">
        <v>0.41341597674628905</v>
      </c>
      <c r="J29" s="16">
        <v>0.63345210941471208</v>
      </c>
      <c r="K29" s="16">
        <v>0.31969789321370906</v>
      </c>
    </row>
    <row r="30" spans="2:22" x14ac:dyDescent="0.3">
      <c r="B30" s="16">
        <v>0.65</v>
      </c>
      <c r="C30" s="16">
        <v>0.80884667712808289</v>
      </c>
      <c r="D30" s="16">
        <v>4.2321368474002377</v>
      </c>
      <c r="E30" s="16">
        <v>0.23628725536469614</v>
      </c>
      <c r="F30" s="16">
        <v>1.0918648791163528E-2</v>
      </c>
      <c r="G30" s="16">
        <v>0.64424313024367297</v>
      </c>
      <c r="H30" s="16">
        <v>19.115332287191698</v>
      </c>
      <c r="I30" s="16">
        <v>0.39444410274120173</v>
      </c>
      <c r="J30" s="16">
        <v>0.60791796695278866</v>
      </c>
      <c r="K30" s="16">
        <v>0.30513582323874583</v>
      </c>
    </row>
    <row r="31" spans="2:22" x14ac:dyDescent="0.3">
      <c r="B31" s="16">
        <v>0.7</v>
      </c>
      <c r="C31" s="16">
        <v>0.80263524199858138</v>
      </c>
      <c r="D31" s="16">
        <v>4.067421191716595</v>
      </c>
      <c r="E31" s="16">
        <v>0.24585602347662569</v>
      </c>
      <c r="F31" s="16">
        <v>1.0931188260214096E-2</v>
      </c>
      <c r="G31" s="16">
        <v>0.64493041854233468</v>
      </c>
      <c r="H31" s="16">
        <v>19.736475800141861</v>
      </c>
      <c r="I31" s="16">
        <v>0.37952324743581139</v>
      </c>
      <c r="J31" s="16">
        <v>0.58777374945280458</v>
      </c>
      <c r="K31" s="16">
        <v>0.29365788683812383</v>
      </c>
    </row>
    <row r="32" spans="2:22" x14ac:dyDescent="0.3">
      <c r="B32" s="16">
        <v>0.75</v>
      </c>
      <c r="C32" s="16">
        <v>0.79734386419973036</v>
      </c>
      <c r="D32" s="16">
        <v>3.9350707624462138</v>
      </c>
      <c r="E32" s="16">
        <v>0.25412503621112925</v>
      </c>
      <c r="F32" s="16">
        <v>1.0944766551039004E-2</v>
      </c>
      <c r="G32" s="16">
        <v>0.64567464466244784</v>
      </c>
      <c r="H32" s="16">
        <v>20.265613580026965</v>
      </c>
      <c r="I32" s="16">
        <v>0.36787790493733269</v>
      </c>
      <c r="J32" s="16">
        <v>0.57211390257334793</v>
      </c>
      <c r="K32" s="16">
        <v>0.28475653286847541</v>
      </c>
    </row>
    <row r="33" spans="2:11" x14ac:dyDescent="0.3">
      <c r="B33" s="16">
        <v>0.8</v>
      </c>
      <c r="C33" s="16">
        <v>0.79278556410732104</v>
      </c>
      <c r="D33" s="16">
        <v>3.82647765634725</v>
      </c>
      <c r="E33" s="16">
        <v>0.2613369500122989</v>
      </c>
      <c r="F33" s="16">
        <v>1.0953771658947358E-2</v>
      </c>
      <c r="G33" s="16">
        <v>0.64616821462690466</v>
      </c>
      <c r="H33" s="16">
        <v>20.721443589267896</v>
      </c>
      <c r="I33" s="16">
        <v>0.35781457444009379</v>
      </c>
      <c r="J33" s="16">
        <v>0.55836368955805793</v>
      </c>
      <c r="K33" s="16">
        <v>0.27692740932168425</v>
      </c>
    </row>
    <row r="34" spans="2:11" x14ac:dyDescent="0.3">
      <c r="B34" s="16">
        <v>0.85</v>
      </c>
      <c r="C34" s="16">
        <v>0.78882038547995503</v>
      </c>
      <c r="D34" s="16">
        <v>3.7358284071743015</v>
      </c>
      <c r="E34" s="16">
        <v>0.26767824723415978</v>
      </c>
      <c r="F34" s="16">
        <v>1.0963939440872789E-2</v>
      </c>
      <c r="G34" s="16">
        <v>0.64672551075423756</v>
      </c>
      <c r="H34" s="16">
        <v>21.117961452004497</v>
      </c>
      <c r="I34" s="16">
        <v>0.3499049978620189</v>
      </c>
      <c r="J34" s="16">
        <v>0.54760892323226329</v>
      </c>
      <c r="K34" s="16">
        <v>0.27082626625832856</v>
      </c>
    </row>
    <row r="35" spans="2:11" x14ac:dyDescent="0.3">
      <c r="B35" s="16">
        <v>0.9</v>
      </c>
      <c r="C35" s="16">
        <v>0.7853415482318078</v>
      </c>
      <c r="D35" s="16">
        <v>3.6590564104396681</v>
      </c>
      <c r="E35" s="16">
        <v>0.27329450214183526</v>
      </c>
      <c r="F35" s="16">
        <v>1.0972466052867792E-2</v>
      </c>
      <c r="G35" s="16">
        <v>0.6471928543576837</v>
      </c>
      <c r="H35" s="16">
        <v>21.465845176819208</v>
      </c>
      <c r="I35" s="16">
        <v>0.34514380975417347</v>
      </c>
      <c r="J35" s="16">
        <v>0.54174875250287391</v>
      </c>
      <c r="K35" s="16">
        <v>0.26759067296811734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91C93-8228-4E85-B9E3-FB80BE715EB6}">
  <dimension ref="B2:Y44"/>
  <sheetViews>
    <sheetView topLeftCell="K1" zoomScale="86" zoomScaleNormal="55" workbookViewId="0">
      <selection activeCell="T25" sqref="T25"/>
    </sheetView>
  </sheetViews>
  <sheetFormatPr baseColWidth="10" defaultRowHeight="14.4" x14ac:dyDescent="0.3"/>
  <cols>
    <col min="2" max="2" width="11.5546875" style="32"/>
    <col min="4" max="4" width="11.5546875" style="2"/>
    <col min="11" max="11" width="18.88671875" bestFit="1" customWidth="1"/>
    <col min="12" max="12" width="20" bestFit="1" customWidth="1"/>
    <col min="13" max="13" width="13.21875" bestFit="1" customWidth="1"/>
    <col min="14" max="14" width="14.44140625" bestFit="1" customWidth="1"/>
    <col min="17" max="17" width="24.109375" customWidth="1"/>
    <col min="18" max="18" width="14.109375" bestFit="1" customWidth="1"/>
    <col min="19" max="19" width="14.6640625" customWidth="1"/>
    <col min="20" max="20" width="13.6640625" bestFit="1" customWidth="1"/>
  </cols>
  <sheetData>
    <row r="2" spans="2:18" x14ac:dyDescent="0.3">
      <c r="B2" s="30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1" t="s">
        <v>27</v>
      </c>
      <c r="H2" s="1" t="s">
        <v>57</v>
      </c>
      <c r="I2" s="1" t="s">
        <v>0</v>
      </c>
      <c r="K2" s="36" t="s">
        <v>56</v>
      </c>
      <c r="L2" s="36"/>
      <c r="N2" s="36" t="s">
        <v>65</v>
      </c>
      <c r="O2" s="36"/>
      <c r="Q2" s="36" t="s">
        <v>116</v>
      </c>
      <c r="R2" s="36"/>
    </row>
    <row r="3" spans="2:18" x14ac:dyDescent="0.3">
      <c r="B3" s="31">
        <v>1</v>
      </c>
      <c r="C3" s="3">
        <v>1073.1500000000001</v>
      </c>
      <c r="D3" s="4">
        <v>25</v>
      </c>
      <c r="E3" s="3">
        <v>1350.0381316636626</v>
      </c>
      <c r="F3" s="6">
        <v>3.0305681085599816</v>
      </c>
      <c r="G3" s="3">
        <v>1000</v>
      </c>
      <c r="H3" s="3">
        <v>756.61237274082237</v>
      </c>
      <c r="I3" s="3">
        <f>C3-273.15</f>
        <v>800.00000000000011</v>
      </c>
      <c r="K3" s="7" t="s">
        <v>40</v>
      </c>
      <c r="L3" s="7" t="s">
        <v>41</v>
      </c>
      <c r="N3" s="7" t="s">
        <v>40</v>
      </c>
      <c r="O3" s="7" t="s">
        <v>41</v>
      </c>
      <c r="Q3" s="20" t="s">
        <v>40</v>
      </c>
      <c r="R3" s="20" t="s">
        <v>41</v>
      </c>
    </row>
    <row r="4" spans="2:18" x14ac:dyDescent="0.3">
      <c r="B4" s="31">
        <v>2</v>
      </c>
      <c r="C4" s="3">
        <v>1018.1871360117831</v>
      </c>
      <c r="D4" s="4">
        <v>17.482517482517483</v>
      </c>
      <c r="E4" s="3">
        <v>1281.3081492359206</v>
      </c>
      <c r="F4" s="6">
        <v>3.0357375517463359</v>
      </c>
      <c r="G4" s="3">
        <v>1000</v>
      </c>
      <c r="H4" s="3">
        <v>686.34112082706883</v>
      </c>
      <c r="I4" s="3">
        <f t="shared" ref="I4:I44" si="0">C4-273.15</f>
        <v>745.0371360117831</v>
      </c>
      <c r="K4" s="8" t="s">
        <v>42</v>
      </c>
      <c r="L4" s="6">
        <v>179.67369630276852</v>
      </c>
      <c r="N4" s="8" t="s">
        <v>66</v>
      </c>
      <c r="O4" s="9">
        <v>68729.982427742099</v>
      </c>
      <c r="Q4" s="12" t="s">
        <v>98</v>
      </c>
      <c r="R4" s="5">
        <v>10393.639419290723</v>
      </c>
    </row>
    <row r="5" spans="2:18" x14ac:dyDescent="0.3">
      <c r="B5" s="31">
        <v>3</v>
      </c>
      <c r="C5" s="3">
        <v>1073.1500000000001</v>
      </c>
      <c r="D5" s="4">
        <v>17.482517482517483</v>
      </c>
      <c r="E5" s="3">
        <v>1351.4823193165744</v>
      </c>
      <c r="F5" s="6">
        <v>3.1028601038812176</v>
      </c>
      <c r="G5" s="3">
        <v>1000</v>
      </c>
      <c r="H5" s="3">
        <v>736.50270198870771</v>
      </c>
      <c r="I5" s="3">
        <f t="shared" si="0"/>
        <v>800.00000000000011</v>
      </c>
      <c r="K5" s="8" t="s">
        <v>43</v>
      </c>
      <c r="L5" s="6">
        <v>70.174170080653866</v>
      </c>
      <c r="N5" s="8" t="s">
        <v>67</v>
      </c>
      <c r="O5" s="9">
        <v>119784.56764170597</v>
      </c>
      <c r="Q5" s="12" t="s">
        <v>99</v>
      </c>
      <c r="R5" s="5">
        <v>8913.1218548035304</v>
      </c>
    </row>
    <row r="6" spans="2:18" x14ac:dyDescent="0.3">
      <c r="B6" s="31">
        <v>4</v>
      </c>
      <c r="C6" s="3">
        <v>976.21764828798996</v>
      </c>
      <c r="D6" s="4">
        <v>9.1240875912408761</v>
      </c>
      <c r="E6" s="3">
        <v>1231.6977516748684</v>
      </c>
      <c r="F6" s="6">
        <v>3.112273260172465</v>
      </c>
      <c r="G6" s="3">
        <v>1000</v>
      </c>
      <c r="H6" s="3">
        <v>613.91160179876624</v>
      </c>
      <c r="I6" s="3">
        <f t="shared" si="0"/>
        <v>703.06764828798998</v>
      </c>
      <c r="K6" s="12" t="s">
        <v>47</v>
      </c>
      <c r="L6" s="6">
        <v>249.84786638342237</v>
      </c>
      <c r="N6" s="8" t="s">
        <v>68</v>
      </c>
      <c r="O6" s="9">
        <v>7177.9640670783747</v>
      </c>
      <c r="Q6" s="12" t="s">
        <v>100</v>
      </c>
      <c r="R6" s="5">
        <v>440450.72436765849</v>
      </c>
    </row>
    <row r="7" spans="2:18" x14ac:dyDescent="0.3">
      <c r="B7" s="31">
        <v>5</v>
      </c>
      <c r="C7" s="3">
        <v>580.60739984606084</v>
      </c>
      <c r="D7" s="4">
        <v>9.1240875912408761</v>
      </c>
      <c r="E7" s="3">
        <v>758.77316593152807</v>
      </c>
      <c r="F7" s="6">
        <v>2.493493145865219</v>
      </c>
      <c r="G7" s="3">
        <v>1000</v>
      </c>
      <c r="H7" s="3">
        <v>325.47630713613137</v>
      </c>
      <c r="I7" s="3">
        <f t="shared" si="0"/>
        <v>307.45739984606087</v>
      </c>
      <c r="K7" s="8" t="s">
        <v>44</v>
      </c>
      <c r="L7" s="6">
        <v>485.05085709943228</v>
      </c>
      <c r="N7" s="8" t="s">
        <v>69</v>
      </c>
      <c r="O7" s="9">
        <v>-38640.801901504477</v>
      </c>
      <c r="Q7" s="12" t="s">
        <v>105</v>
      </c>
      <c r="R7" s="5">
        <v>115119.86639696265</v>
      </c>
    </row>
    <row r="8" spans="2:18" x14ac:dyDescent="0.3">
      <c r="B8" s="31">
        <v>6</v>
      </c>
      <c r="C8" s="3">
        <v>435.4382571755965</v>
      </c>
      <c r="D8" s="4">
        <v>9.1240875912408761</v>
      </c>
      <c r="E8" s="3">
        <v>591.20237940579909</v>
      </c>
      <c r="F8" s="6">
        <v>2.1610567826542426</v>
      </c>
      <c r="G8" s="3">
        <v>1000</v>
      </c>
      <c r="H8" s="3">
        <v>257.02142230175508</v>
      </c>
      <c r="I8" s="3">
        <f t="shared" si="0"/>
        <v>162.28825717559653</v>
      </c>
      <c r="K8" s="8" t="s">
        <v>45</v>
      </c>
      <c r="L8" s="6">
        <v>167.57078652572901</v>
      </c>
      <c r="N8" s="8" t="s">
        <v>70</v>
      </c>
      <c r="O8" s="9">
        <v>-18872.729900081154</v>
      </c>
      <c r="Q8" s="12" t="s">
        <v>104</v>
      </c>
      <c r="R8" s="5">
        <v>822.4348761810661</v>
      </c>
    </row>
    <row r="9" spans="2:18" x14ac:dyDescent="0.3">
      <c r="B9" s="31" t="s">
        <v>29</v>
      </c>
      <c r="C9" s="3">
        <v>435.4382571755965</v>
      </c>
      <c r="D9" s="4">
        <v>9.1240875912408761</v>
      </c>
      <c r="E9" s="3">
        <v>591.20237940579909</v>
      </c>
      <c r="F9" s="6">
        <v>2.1610567826542426</v>
      </c>
      <c r="G9" s="3">
        <v>799.46350834994291</v>
      </c>
      <c r="H9" s="3">
        <v>257.02142230175508</v>
      </c>
      <c r="I9" s="3">
        <f t="shared" si="0"/>
        <v>162.28825717559653</v>
      </c>
      <c r="K9" s="8" t="s">
        <v>48</v>
      </c>
      <c r="L9" s="6">
        <v>0.18121875107696997</v>
      </c>
      <c r="N9" s="8" t="s">
        <v>71</v>
      </c>
      <c r="O9" s="9">
        <v>-5.8783407799472913</v>
      </c>
      <c r="Q9" s="12" t="s">
        <v>101</v>
      </c>
      <c r="R9" s="5">
        <v>26046646.011949766</v>
      </c>
    </row>
    <row r="10" spans="2:18" x14ac:dyDescent="0.3">
      <c r="B10" s="31" t="s">
        <v>30</v>
      </c>
      <c r="C10" s="3">
        <v>423.35913575479753</v>
      </c>
      <c r="D10" s="4">
        <v>9.1240875912408761</v>
      </c>
      <c r="E10" s="3">
        <v>576.60060448894728</v>
      </c>
      <c r="F10" s="6">
        <v>2.1270479527453361</v>
      </c>
      <c r="G10" s="3">
        <v>799.46350834994291</v>
      </c>
      <c r="H10" s="3">
        <v>252.57320939780874</v>
      </c>
      <c r="I10" s="3">
        <f t="shared" si="0"/>
        <v>150.20913575479756</v>
      </c>
      <c r="K10" s="8" t="s">
        <v>49</v>
      </c>
      <c r="L10" s="6">
        <v>68.670753276561001</v>
      </c>
      <c r="N10" s="8" t="s">
        <v>72</v>
      </c>
      <c r="O10" s="9">
        <v>131001.01826786241</v>
      </c>
      <c r="Q10" s="12" t="s">
        <v>102</v>
      </c>
      <c r="R10" s="5">
        <v>5561582.0670651915</v>
      </c>
    </row>
    <row r="11" spans="2:18" x14ac:dyDescent="0.3">
      <c r="B11" s="32" t="s">
        <v>31</v>
      </c>
      <c r="C11" s="3">
        <v>357.24648058947918</v>
      </c>
      <c r="D11" s="4">
        <v>9.1240875912408761</v>
      </c>
      <c r="E11" s="3">
        <v>487.05207701453503</v>
      </c>
      <c r="F11" s="6">
        <v>1.8961819516546079</v>
      </c>
      <c r="G11" s="3">
        <v>799.46350834994291</v>
      </c>
      <c r="H11" s="3">
        <v>231.85738014859709</v>
      </c>
      <c r="I11" s="3">
        <f t="shared" si="0"/>
        <v>84.096480589479199</v>
      </c>
      <c r="K11" s="8" t="s">
        <v>50</v>
      </c>
      <c r="L11" s="6">
        <v>12.546499075118692</v>
      </c>
      <c r="N11" s="8" t="s">
        <v>73</v>
      </c>
      <c r="O11" s="9">
        <v>7172.0857262984273</v>
      </c>
      <c r="Q11" s="12" t="s">
        <v>103</v>
      </c>
      <c r="R11" s="5">
        <v>9692883.3643694986</v>
      </c>
    </row>
    <row r="12" spans="2:18" x14ac:dyDescent="0.3">
      <c r="B12" s="31" t="s">
        <v>32</v>
      </c>
      <c r="C12" s="3">
        <v>357.0720125338982</v>
      </c>
      <c r="D12" s="4">
        <v>9.1240875912408761</v>
      </c>
      <c r="E12" s="3">
        <v>486.76983501001507</v>
      </c>
      <c r="F12" s="6">
        <v>1.895391710236477</v>
      </c>
      <c r="G12" s="3">
        <v>799.46350834994291</v>
      </c>
      <c r="H12" s="3">
        <v>231.8107486228929</v>
      </c>
      <c r="I12" s="3">
        <f t="shared" si="0"/>
        <v>83.922012533898226</v>
      </c>
      <c r="K12" s="8" t="s">
        <v>51</v>
      </c>
      <c r="L12" s="6">
        <v>81.398471102756673</v>
      </c>
      <c r="N12" s="10" t="s">
        <v>74</v>
      </c>
      <c r="O12" s="11">
        <v>138173.10399416083</v>
      </c>
      <c r="Q12" s="12" t="s">
        <v>106</v>
      </c>
      <c r="R12" s="5">
        <v>580835.8277331352</v>
      </c>
    </row>
    <row r="13" spans="2:18" x14ac:dyDescent="0.3">
      <c r="B13" s="31" t="s">
        <v>33</v>
      </c>
      <c r="C13" s="3">
        <v>354.0886576106264</v>
      </c>
      <c r="D13" s="4">
        <v>9.1240875912408761</v>
      </c>
      <c r="E13" s="3">
        <v>481.86631527551782</v>
      </c>
      <c r="F13" s="6">
        <v>1.8816011465198099</v>
      </c>
      <c r="G13" s="3">
        <v>799.46350834994291</v>
      </c>
      <c r="H13" s="3">
        <v>231.01888546051993</v>
      </c>
      <c r="I13" s="3">
        <f t="shared" si="0"/>
        <v>80.938657610626422</v>
      </c>
      <c r="K13" s="8" t="s">
        <v>52</v>
      </c>
      <c r="L13" s="6">
        <v>72.309456578341951</v>
      </c>
      <c r="Q13" s="12" t="s">
        <v>107</v>
      </c>
      <c r="R13" s="5">
        <v>1402278.565085788</v>
      </c>
    </row>
    <row r="14" spans="2:18" x14ac:dyDescent="0.3">
      <c r="B14" s="31" t="s">
        <v>34</v>
      </c>
      <c r="C14" s="3">
        <v>435.4382571755965</v>
      </c>
      <c r="D14" s="4">
        <v>9.1240875912408761</v>
      </c>
      <c r="E14" s="3">
        <v>591.20237940579909</v>
      </c>
      <c r="F14" s="6">
        <v>2.1610567826542426</v>
      </c>
      <c r="G14" s="3">
        <v>200.53649165005706</v>
      </c>
      <c r="H14" s="3">
        <v>257.02142230175508</v>
      </c>
      <c r="I14" s="3">
        <f t="shared" si="0"/>
        <v>162.28825717559653</v>
      </c>
      <c r="K14" s="8" t="s">
        <v>54</v>
      </c>
      <c r="L14" s="6">
        <v>1.9169287981163008</v>
      </c>
      <c r="N14" s="37" t="s">
        <v>75</v>
      </c>
      <c r="O14" s="37"/>
      <c r="Q14" s="12" t="s">
        <v>108</v>
      </c>
      <c r="R14" s="5">
        <v>684893.25534693513</v>
      </c>
    </row>
    <row r="15" spans="2:18" x14ac:dyDescent="0.3">
      <c r="B15" s="31">
        <v>7</v>
      </c>
      <c r="C15" s="3">
        <v>328.15</v>
      </c>
      <c r="D15" s="4">
        <v>9.1240875912408761</v>
      </c>
      <c r="E15" s="3">
        <v>427.37611738856413</v>
      </c>
      <c r="F15" s="6">
        <v>1.72122584179495</v>
      </c>
      <c r="G15" s="3">
        <v>799.46350834994291</v>
      </c>
      <c r="H15" s="3">
        <v>224.33075530171814</v>
      </c>
      <c r="I15" s="3">
        <f t="shared" si="0"/>
        <v>55</v>
      </c>
      <c r="K15" s="8" t="s">
        <v>53</v>
      </c>
      <c r="L15" s="6">
        <v>74.226385376458239</v>
      </c>
      <c r="N15" s="8" t="s">
        <v>80</v>
      </c>
      <c r="O15" s="9">
        <v>8.8110816200029749</v>
      </c>
      <c r="Q15" s="12" t="s">
        <v>109</v>
      </c>
      <c r="R15" s="5">
        <v>213.32557473836525</v>
      </c>
    </row>
    <row r="16" spans="2:18" x14ac:dyDescent="0.3">
      <c r="B16" s="31">
        <v>8</v>
      </c>
      <c r="C16" s="3">
        <v>407.92598052767181</v>
      </c>
      <c r="D16" s="4">
        <v>25</v>
      </c>
      <c r="E16" s="3">
        <v>475.70953285771714</v>
      </c>
      <c r="F16" s="6">
        <v>1.7343043486568708</v>
      </c>
      <c r="G16" s="3">
        <v>799.46350834994291</v>
      </c>
      <c r="H16" s="3">
        <v>268.76481394998945</v>
      </c>
      <c r="I16" s="3">
        <f t="shared" si="0"/>
        <v>134.77598052767183</v>
      </c>
      <c r="K16" s="8" t="s">
        <v>46</v>
      </c>
      <c r="L16" s="6">
        <v>3.9201850902043516</v>
      </c>
      <c r="N16" s="8" t="s">
        <v>81</v>
      </c>
      <c r="O16" s="9">
        <v>52.432314177470374</v>
      </c>
      <c r="Q16" s="12" t="s">
        <v>110</v>
      </c>
      <c r="R16" s="5">
        <v>1455401.8193176989</v>
      </c>
    </row>
    <row r="17" spans="2:25" x14ac:dyDescent="0.3">
      <c r="B17" s="31">
        <v>9</v>
      </c>
      <c r="C17" s="3">
        <v>547.69370647629023</v>
      </c>
      <c r="D17" s="4">
        <v>25</v>
      </c>
      <c r="E17" s="3">
        <v>685.31357954095802</v>
      </c>
      <c r="F17" s="6">
        <v>2.180095650521598</v>
      </c>
      <c r="G17" s="3">
        <v>799.46350834994291</v>
      </c>
      <c r="H17" s="3">
        <v>345.4561839822619</v>
      </c>
      <c r="I17" s="3">
        <f t="shared" si="0"/>
        <v>274.54370647629025</v>
      </c>
      <c r="K17" s="8" t="s">
        <v>55</v>
      </c>
      <c r="L17" s="6">
        <v>-43.56292476579263</v>
      </c>
      <c r="N17" s="8" t="s">
        <v>82</v>
      </c>
      <c r="O17" s="9">
        <v>17.470165800587704</v>
      </c>
      <c r="Q17" s="12" t="s">
        <v>111</v>
      </c>
      <c r="R17" s="5">
        <v>1183381.5514604528</v>
      </c>
    </row>
    <row r="18" spans="2:25" x14ac:dyDescent="0.3">
      <c r="B18" s="31">
        <v>10</v>
      </c>
      <c r="C18" s="3">
        <v>547.69370647629023</v>
      </c>
      <c r="D18" s="4">
        <v>25</v>
      </c>
      <c r="E18" s="3">
        <v>685.31357954095802</v>
      </c>
      <c r="F18" s="6">
        <v>2.180095650521598</v>
      </c>
      <c r="G18" s="3">
        <v>200.53649165005706</v>
      </c>
      <c r="H18" s="3">
        <v>345.4561839822619</v>
      </c>
      <c r="I18" s="3">
        <f t="shared" si="0"/>
        <v>274.54370647629025</v>
      </c>
      <c r="K18" s="10" t="s">
        <v>248</v>
      </c>
      <c r="L18" s="15">
        <v>6.0634700969981782E-2</v>
      </c>
      <c r="N18" s="8" t="s">
        <v>83</v>
      </c>
      <c r="O18" s="9">
        <v>52.935313208739778</v>
      </c>
      <c r="Q18" s="12" t="s">
        <v>112</v>
      </c>
      <c r="R18" s="5">
        <v>204302322.6764515</v>
      </c>
      <c r="V18" s="5">
        <f>R23-R9-R6</f>
        <v>212851807.6838057</v>
      </c>
    </row>
    <row r="19" spans="2:25" x14ac:dyDescent="0.3">
      <c r="B19" s="31">
        <v>11</v>
      </c>
      <c r="C19" s="3">
        <v>547.69370647629023</v>
      </c>
      <c r="D19" s="4">
        <v>25</v>
      </c>
      <c r="E19" s="3">
        <v>685.31357954095802</v>
      </c>
      <c r="F19" s="6">
        <v>2.180095650521598</v>
      </c>
      <c r="G19" s="3">
        <v>1000</v>
      </c>
      <c r="H19" s="3">
        <v>345.4561839822619</v>
      </c>
      <c r="I19" s="3">
        <f t="shared" si="0"/>
        <v>274.54370647629025</v>
      </c>
      <c r="K19" s="37" t="s">
        <v>58</v>
      </c>
      <c r="L19" s="37"/>
      <c r="N19" s="8" t="s">
        <v>84</v>
      </c>
      <c r="O19" s="9">
        <v>55.302895315550607</v>
      </c>
      <c r="Q19" s="12" t="s">
        <v>122</v>
      </c>
      <c r="R19" s="5">
        <v>268677342.46419758</v>
      </c>
    </row>
    <row r="20" spans="2:25" x14ac:dyDescent="0.3">
      <c r="B20" s="31">
        <v>12</v>
      </c>
      <c r="C20" s="3">
        <v>932.93660164805476</v>
      </c>
      <c r="D20" s="4">
        <v>25</v>
      </c>
      <c r="E20" s="3">
        <v>1170.364435360894</v>
      </c>
      <c r="F20" s="6">
        <v>2.8511829889834956</v>
      </c>
      <c r="G20" s="3">
        <v>1000</v>
      </c>
      <c r="H20" s="3">
        <v>630.42234983978312</v>
      </c>
      <c r="I20" s="3">
        <f t="shared" si="0"/>
        <v>659.78660164805478</v>
      </c>
      <c r="K20" s="12" t="s">
        <v>59</v>
      </c>
      <c r="L20" s="3">
        <v>10711.871306183628</v>
      </c>
      <c r="N20" s="8" t="s">
        <v>85</v>
      </c>
      <c r="O20" s="9">
        <v>35.584623553072362</v>
      </c>
      <c r="Q20" s="12" t="s">
        <v>250</v>
      </c>
      <c r="R20">
        <v>1.6888017918525338</v>
      </c>
    </row>
    <row r="21" spans="2:25" x14ac:dyDescent="0.3">
      <c r="B21" s="31">
        <v>17</v>
      </c>
      <c r="C21" s="3">
        <v>313.14999999999998</v>
      </c>
      <c r="D21" s="4">
        <v>7.8923107438086744</v>
      </c>
      <c r="E21" s="3">
        <v>-132.35463919610541</v>
      </c>
      <c r="F21" s="6">
        <v>-0.37994748587359245</v>
      </c>
      <c r="G21" s="3">
        <v>178.98150438921974</v>
      </c>
      <c r="H21" s="3">
        <v>0.52460446529691762</v>
      </c>
      <c r="I21" s="3">
        <f t="shared" si="0"/>
        <v>40</v>
      </c>
      <c r="K21" s="12" t="s">
        <v>60</v>
      </c>
      <c r="L21" s="3">
        <v>2799.7438201508498</v>
      </c>
      <c r="N21" s="8" t="s">
        <v>86</v>
      </c>
      <c r="O21" s="9">
        <v>22.472364524327499</v>
      </c>
      <c r="Q21" s="36" t="s">
        <v>117</v>
      </c>
      <c r="R21" s="36"/>
      <c r="S21" s="36" t="s">
        <v>117</v>
      </c>
      <c r="T21" s="36"/>
    </row>
    <row r="22" spans="2:25" x14ac:dyDescent="0.3">
      <c r="B22" s="31">
        <v>18</v>
      </c>
      <c r="C22" s="3">
        <v>313.1583575108412</v>
      </c>
      <c r="D22" s="4">
        <v>31.569242975234697</v>
      </c>
      <c r="E22" s="3">
        <v>-132.32179590986752</v>
      </c>
      <c r="F22" s="6">
        <v>-0.37993175416231956</v>
      </c>
      <c r="G22" s="3">
        <v>178.98150438921974</v>
      </c>
      <c r="H22" s="3">
        <v>0.55275734181882941</v>
      </c>
      <c r="I22" s="3">
        <f t="shared" si="0"/>
        <v>40.008357510841222</v>
      </c>
      <c r="K22" s="12" t="s">
        <v>61</v>
      </c>
      <c r="L22" s="3">
        <v>252.77589910235713</v>
      </c>
      <c r="N22" s="8" t="s">
        <v>87</v>
      </c>
      <c r="O22" s="5">
        <v>17.082845227237385</v>
      </c>
      <c r="Q22" s="21" t="s">
        <v>113</v>
      </c>
      <c r="R22" s="22">
        <v>234142.27371589636</v>
      </c>
      <c r="S22" s="21" t="s">
        <v>127</v>
      </c>
      <c r="T22" s="23">
        <v>0</v>
      </c>
      <c r="V22" s="26">
        <f>(R23-228195)/228195</f>
        <v>1047.8350069901755</v>
      </c>
    </row>
    <row r="23" spans="2:25" x14ac:dyDescent="0.3">
      <c r="B23" s="32" t="s">
        <v>246</v>
      </c>
      <c r="C23" s="3">
        <v>346.70426173925563</v>
      </c>
      <c r="D23" s="4">
        <v>31.569242975234697</v>
      </c>
      <c r="E23" s="3">
        <v>-71.687094939885725</v>
      </c>
      <c r="F23" s="6">
        <v>-0.19609375643926472</v>
      </c>
      <c r="G23" s="3">
        <v>178.98150438921974</v>
      </c>
      <c r="H23" s="3">
        <v>6.3761592906718141</v>
      </c>
      <c r="I23" s="3">
        <f t="shared" si="0"/>
        <v>73.554261739255651</v>
      </c>
      <c r="K23" s="12" t="s">
        <v>62</v>
      </c>
      <c r="L23" s="3">
        <v>216.7693432268965</v>
      </c>
      <c r="N23" s="8" t="s">
        <v>88</v>
      </c>
      <c r="O23" s="5">
        <v>22.682590705779543</v>
      </c>
      <c r="Q23" s="21" t="s">
        <v>114</v>
      </c>
      <c r="R23" s="22">
        <v>239338904.42012313</v>
      </c>
      <c r="S23" s="21" t="s">
        <v>128</v>
      </c>
      <c r="T23" s="23">
        <v>0</v>
      </c>
      <c r="V23" s="26">
        <f>(R24-10815)/10815</f>
        <v>1100.5342807427048</v>
      </c>
    </row>
    <row r="24" spans="2:25" x14ac:dyDescent="0.3">
      <c r="B24" s="31" t="s">
        <v>35</v>
      </c>
      <c r="C24" s="3">
        <v>347.24648058947918</v>
      </c>
      <c r="D24" s="4">
        <v>31.569242975234697</v>
      </c>
      <c r="E24" s="3">
        <v>-70.674595063457787</v>
      </c>
      <c r="F24" s="6">
        <v>-0.19317568283781225</v>
      </c>
      <c r="G24" s="3">
        <v>178.98150438921974</v>
      </c>
      <c r="H24" s="3">
        <v>6.518635522826691</v>
      </c>
      <c r="I24" s="3">
        <f t="shared" si="0"/>
        <v>74.096480589479199</v>
      </c>
      <c r="K24" s="12" t="s">
        <v>63</v>
      </c>
      <c r="L24" s="3">
        <v>20.001821007370641</v>
      </c>
      <c r="N24" s="10" t="s">
        <v>89</v>
      </c>
      <c r="O24" s="14">
        <v>22.757915766586301</v>
      </c>
      <c r="Q24" s="21" t="s">
        <v>115</v>
      </c>
      <c r="R24" s="22">
        <v>11913093.246232353</v>
      </c>
      <c r="S24" s="21" t="s">
        <v>126</v>
      </c>
      <c r="T24" s="23">
        <v>268677342.46419758</v>
      </c>
      <c r="V24" s="8"/>
      <c r="W24" s="8"/>
      <c r="X24" s="8"/>
      <c r="Y24" s="8"/>
    </row>
    <row r="25" spans="2:25" x14ac:dyDescent="0.3">
      <c r="B25" s="31" t="s">
        <v>36</v>
      </c>
      <c r="C25" s="3">
        <v>347.24648058947918</v>
      </c>
      <c r="D25" s="4">
        <v>31.569242975234697</v>
      </c>
      <c r="E25" s="3">
        <v>313.00054226931974</v>
      </c>
      <c r="F25" s="6">
        <v>0.91173151933586583</v>
      </c>
      <c r="G25" s="3">
        <v>178.98150438921974</v>
      </c>
      <c r="H25" s="3">
        <v>60.765690527522125</v>
      </c>
      <c r="I25" s="3">
        <f t="shared" si="0"/>
        <v>74.096480589479199</v>
      </c>
      <c r="K25" s="12" t="s">
        <v>64</v>
      </c>
      <c r="L25" s="3">
        <v>633460.91765041498</v>
      </c>
      <c r="Q25" s="8"/>
      <c r="R25" s="8"/>
      <c r="S25" s="33" t="s">
        <v>242</v>
      </c>
      <c r="T25" s="34">
        <v>520163482.40426898</v>
      </c>
      <c r="U25" s="5"/>
      <c r="V25" s="8"/>
      <c r="W25" s="8"/>
      <c r="X25" s="8"/>
      <c r="Y25" s="8"/>
    </row>
    <row r="26" spans="2:25" x14ac:dyDescent="0.3">
      <c r="B26" s="31">
        <v>15</v>
      </c>
      <c r="C26" s="3">
        <v>396.4382571755965</v>
      </c>
      <c r="D26" s="4">
        <v>31.569242975234697</v>
      </c>
      <c r="E26" s="3">
        <v>383.09995906623425</v>
      </c>
      <c r="F26" s="6">
        <v>1.100267344850671</v>
      </c>
      <c r="G26" s="3">
        <v>178.98150438921974</v>
      </c>
      <c r="H26" s="3">
        <v>74.65315094719746</v>
      </c>
      <c r="I26" s="3">
        <f t="shared" si="0"/>
        <v>123.28825717559653</v>
      </c>
      <c r="K26" s="13" t="s">
        <v>249</v>
      </c>
      <c r="L26" s="24">
        <v>0.43125684163752132</v>
      </c>
      <c r="N26" s="37" t="s">
        <v>76</v>
      </c>
      <c r="O26" s="37"/>
      <c r="Q26" s="8"/>
      <c r="R26" s="8"/>
      <c r="S26" s="8"/>
      <c r="T26" s="8"/>
      <c r="V26" s="8"/>
      <c r="W26" s="8"/>
      <c r="X26" s="8"/>
      <c r="Y26" s="8"/>
    </row>
    <row r="27" spans="2:25" x14ac:dyDescent="0.3">
      <c r="B27" s="31">
        <v>16</v>
      </c>
      <c r="C27" s="3">
        <v>368.14329244204333</v>
      </c>
      <c r="D27" s="4">
        <v>7.8923107438086744</v>
      </c>
      <c r="E27" s="3">
        <v>342.99545725431005</v>
      </c>
      <c r="F27" s="6">
        <v>1.1196252392794583</v>
      </c>
      <c r="G27" s="3">
        <v>178.98150438921974</v>
      </c>
      <c r="H27" s="3">
        <v>28.777092911330342</v>
      </c>
      <c r="I27" s="3">
        <f t="shared" si="0"/>
        <v>94.993292442043355</v>
      </c>
      <c r="N27" s="12" t="s">
        <v>77</v>
      </c>
      <c r="O27" s="5">
        <v>0.71269346475761464</v>
      </c>
      <c r="Q27" s="8"/>
      <c r="R27" s="8"/>
      <c r="S27" s="8"/>
      <c r="T27" s="8"/>
      <c r="U27" s="8"/>
      <c r="V27" s="8"/>
      <c r="W27" s="8"/>
      <c r="X27" s="8"/>
      <c r="Y27" s="8"/>
    </row>
    <row r="28" spans="2:25" x14ac:dyDescent="0.3">
      <c r="B28" s="31" t="s">
        <v>247</v>
      </c>
      <c r="C28" s="3">
        <v>322.00678826390748</v>
      </c>
      <c r="D28" s="4">
        <v>7.8923107438086744</v>
      </c>
      <c r="E28" s="3">
        <v>282.36075628432832</v>
      </c>
      <c r="F28" s="6">
        <v>0.94391023344978242</v>
      </c>
      <c r="G28" s="3">
        <v>178.98150438921974</v>
      </c>
      <c r="H28" s="3">
        <v>20.531820929466456</v>
      </c>
      <c r="I28" s="3">
        <f t="shared" si="0"/>
        <v>48.856788263907504</v>
      </c>
      <c r="N28" s="12" t="s">
        <v>78</v>
      </c>
      <c r="O28" s="5">
        <v>0.99770990140218263</v>
      </c>
      <c r="Q28" s="8"/>
      <c r="R28" s="8"/>
      <c r="S28" s="8"/>
      <c r="T28" s="8"/>
      <c r="U28" s="8"/>
      <c r="V28" s="8"/>
      <c r="W28" s="8"/>
      <c r="X28" s="8"/>
      <c r="Y28" s="8"/>
    </row>
    <row r="29" spans="2:25" x14ac:dyDescent="0.3">
      <c r="B29" s="31" t="s">
        <v>28</v>
      </c>
      <c r="C29" s="3">
        <v>313.14999999999998</v>
      </c>
      <c r="D29" s="4">
        <v>7.8923107438086744</v>
      </c>
      <c r="E29" s="3">
        <v>271.65055019539255</v>
      </c>
      <c r="F29" s="6">
        <v>0.91018564327057938</v>
      </c>
      <c r="G29" s="3">
        <v>178.98150438921974</v>
      </c>
      <c r="H29" s="3">
        <v>19.876601402460075</v>
      </c>
      <c r="I29" s="3">
        <f t="shared" si="0"/>
        <v>40</v>
      </c>
      <c r="N29" s="13" t="s">
        <v>79</v>
      </c>
      <c r="O29" s="14">
        <v>0.6</v>
      </c>
      <c r="Q29" s="8"/>
      <c r="R29" s="8"/>
      <c r="S29" s="8"/>
      <c r="T29" s="8"/>
      <c r="U29" s="8"/>
      <c r="V29" s="8"/>
      <c r="W29" s="8"/>
      <c r="X29" s="8"/>
      <c r="Y29" s="8"/>
    </row>
    <row r="30" spans="2:25" x14ac:dyDescent="0.3">
      <c r="B30" s="31" t="s">
        <v>37</v>
      </c>
      <c r="C30" s="3">
        <v>298.14999999999998</v>
      </c>
      <c r="D30" s="4">
        <v>101.325</v>
      </c>
      <c r="E30" s="3">
        <v>104.92011957080643</v>
      </c>
      <c r="F30" s="6">
        <v>0.36719964130372146</v>
      </c>
      <c r="G30" s="3">
        <v>3459.3867266388565</v>
      </c>
      <c r="H30" s="3">
        <v>2.5073905791015251E-5</v>
      </c>
      <c r="I30" s="3">
        <f t="shared" si="0"/>
        <v>25</v>
      </c>
      <c r="Q30" s="8"/>
      <c r="R30" s="8"/>
      <c r="S30" s="8"/>
      <c r="T30" s="8"/>
      <c r="U30" s="8"/>
      <c r="V30" s="8"/>
      <c r="W30" s="8"/>
      <c r="X30" s="8"/>
      <c r="Y30" s="8"/>
    </row>
    <row r="31" spans="2:25" x14ac:dyDescent="0.3">
      <c r="B31" s="31" t="s">
        <v>38</v>
      </c>
      <c r="C31" s="3">
        <v>303.14999999999998</v>
      </c>
      <c r="D31" s="4">
        <v>101.325</v>
      </c>
      <c r="E31" s="3">
        <v>125.82251132178534</v>
      </c>
      <c r="F31" s="6">
        <v>0.43672528196163279</v>
      </c>
      <c r="G31" s="3">
        <v>3459.3867266388565</v>
      </c>
      <c r="H31" s="3">
        <v>0.17334706272843686</v>
      </c>
      <c r="I31" s="3">
        <f t="shared" si="0"/>
        <v>30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x14ac:dyDescent="0.3">
      <c r="B32" s="31" t="s">
        <v>39</v>
      </c>
      <c r="C32" s="3">
        <v>303.28257164276243</v>
      </c>
      <c r="D32" s="4">
        <v>101.325</v>
      </c>
      <c r="E32" s="3">
        <v>126.37663520257469</v>
      </c>
      <c r="F32" s="6">
        <v>0.43855276906236179</v>
      </c>
      <c r="G32" s="3">
        <v>3459.3867266388565</v>
      </c>
      <c r="H32" s="3">
        <v>0.18260566443543941</v>
      </c>
      <c r="I32" s="3">
        <f t="shared" si="0"/>
        <v>30.132571642762457</v>
      </c>
      <c r="Q32" s="8"/>
      <c r="R32" s="8"/>
      <c r="S32" s="8"/>
      <c r="T32" s="8"/>
      <c r="U32" s="8"/>
      <c r="V32" s="8"/>
      <c r="W32" s="8"/>
      <c r="X32" s="8"/>
      <c r="Y32" s="8"/>
    </row>
    <row r="33" spans="2:25" x14ac:dyDescent="0.3">
      <c r="B33" s="31" t="s">
        <v>29</v>
      </c>
      <c r="C33" s="3">
        <v>435.4382571755965</v>
      </c>
      <c r="D33" s="4">
        <v>9124.0875912408756</v>
      </c>
      <c r="E33" s="3">
        <v>591.20237940555796</v>
      </c>
      <c r="F33" s="6">
        <v>2.1610567826542426</v>
      </c>
      <c r="G33" s="3">
        <v>799.46350834994291</v>
      </c>
      <c r="H33" s="3">
        <v>257.03525167707909</v>
      </c>
      <c r="I33" s="3">
        <f t="shared" si="0"/>
        <v>162.28825717559653</v>
      </c>
      <c r="Q33" s="8"/>
      <c r="R33" s="8"/>
      <c r="S33" s="8"/>
      <c r="T33" s="8"/>
      <c r="U33" s="8"/>
      <c r="V33" s="8"/>
      <c r="W33" s="8"/>
      <c r="X33" s="8"/>
      <c r="Y33" s="8"/>
    </row>
    <row r="34" spans="2:25" x14ac:dyDescent="0.3">
      <c r="B34" s="31" t="s">
        <v>30</v>
      </c>
      <c r="C34" s="3">
        <v>423.35913575479753</v>
      </c>
      <c r="D34" s="4">
        <v>9124.0875912408756</v>
      </c>
      <c r="E34" s="3">
        <v>576.60060448894728</v>
      </c>
      <c r="F34" s="6">
        <v>2.1270479527453361</v>
      </c>
      <c r="G34" s="3">
        <v>799.46350834994291</v>
      </c>
      <c r="H34" s="3">
        <v>252.57320939780874</v>
      </c>
      <c r="I34" s="3">
        <f t="shared" si="0"/>
        <v>150.20913575479756</v>
      </c>
    </row>
    <row r="35" spans="2:25" x14ac:dyDescent="0.3">
      <c r="B35" s="31" t="s">
        <v>31</v>
      </c>
      <c r="C35" s="3">
        <v>357.24648058947918</v>
      </c>
      <c r="D35" s="4">
        <v>9124.0875912408756</v>
      </c>
      <c r="E35" s="3">
        <v>487.05207701453503</v>
      </c>
      <c r="F35" s="6">
        <v>1.8961819516546079</v>
      </c>
      <c r="G35" s="3">
        <v>799.46350834994291</v>
      </c>
      <c r="H35" s="3">
        <v>231.85738014859709</v>
      </c>
      <c r="I35" s="3">
        <f t="shared" si="0"/>
        <v>84.096480589479199</v>
      </c>
    </row>
    <row r="36" spans="2:25" x14ac:dyDescent="0.3">
      <c r="B36" s="32" t="s">
        <v>32</v>
      </c>
      <c r="C36" s="3">
        <v>357.0720125338982</v>
      </c>
      <c r="D36" s="4">
        <v>9124.0875912408756</v>
      </c>
      <c r="E36" s="3">
        <v>486.76983501001507</v>
      </c>
      <c r="F36" s="6">
        <v>1.895391710236477</v>
      </c>
      <c r="G36" s="3">
        <v>799.46350834994291</v>
      </c>
      <c r="H36" s="3">
        <v>231.8107486228929</v>
      </c>
      <c r="I36" s="3">
        <f t="shared" si="0"/>
        <v>83.922012533898226</v>
      </c>
    </row>
    <row r="37" spans="2:25" x14ac:dyDescent="0.3">
      <c r="B37" s="32">
        <v>13</v>
      </c>
      <c r="C37" s="3">
        <v>298.14999999999998</v>
      </c>
      <c r="D37" s="4">
        <v>0.101325</v>
      </c>
      <c r="E37" s="3">
        <v>424.43605428165802</v>
      </c>
      <c r="F37" s="6">
        <v>3.8804887263997387</v>
      </c>
      <c r="G37" s="3">
        <v>100</v>
      </c>
      <c r="H37" s="3">
        <v>2.1111792130950945E-2</v>
      </c>
      <c r="I37" s="3">
        <f t="shared" si="0"/>
        <v>25</v>
      </c>
    </row>
    <row r="38" spans="2:25" x14ac:dyDescent="0.3">
      <c r="B38" s="32">
        <v>14</v>
      </c>
      <c r="C38" s="3">
        <v>278.14999999999998</v>
      </c>
      <c r="D38" s="4">
        <v>0.101325</v>
      </c>
      <c r="E38" s="3">
        <v>463.63790518370155</v>
      </c>
      <c r="F38" s="6">
        <v>4.0040683198491838</v>
      </c>
      <c r="G38" s="3">
        <v>100</v>
      </c>
      <c r="H38" s="3">
        <v>2.3777069072226005</v>
      </c>
      <c r="I38" s="3">
        <f t="shared" si="0"/>
        <v>5</v>
      </c>
    </row>
    <row r="39" spans="2:25" x14ac:dyDescent="0.3">
      <c r="B39" s="32" t="s">
        <v>32</v>
      </c>
      <c r="C39" s="3">
        <v>357.0720125338982</v>
      </c>
      <c r="D39" s="4">
        <v>9.1240875912408761</v>
      </c>
      <c r="E39" s="3">
        <v>486.76983501001507</v>
      </c>
      <c r="F39" s="6">
        <v>1.895391710236477</v>
      </c>
      <c r="G39" s="3">
        <v>799.46350834994291</v>
      </c>
      <c r="H39" s="3">
        <v>231.8107486228929</v>
      </c>
      <c r="I39" s="3">
        <f t="shared" si="0"/>
        <v>83.922012533898226</v>
      </c>
    </row>
    <row r="40" spans="2:25" x14ac:dyDescent="0.3">
      <c r="B40" s="32" t="s">
        <v>33</v>
      </c>
      <c r="C40" s="3">
        <v>354.0886576106264</v>
      </c>
      <c r="D40" s="4">
        <v>9.1240875912408761</v>
      </c>
      <c r="E40" s="3">
        <v>481.86631527551782</v>
      </c>
      <c r="F40" s="6">
        <v>1.8816011465198099</v>
      </c>
      <c r="G40" s="3">
        <v>799.46350834994291</v>
      </c>
      <c r="H40" s="3">
        <v>231.01888546051993</v>
      </c>
      <c r="I40" s="3">
        <f t="shared" si="0"/>
        <v>80.938657610626422</v>
      </c>
    </row>
    <row r="41" spans="2:25" x14ac:dyDescent="0.3">
      <c r="B41" s="32" t="s">
        <v>33</v>
      </c>
      <c r="C41" s="3">
        <v>354.0886576106264</v>
      </c>
      <c r="D41" s="4">
        <v>9124.0875912408756</v>
      </c>
      <c r="E41" s="3">
        <v>481.86631526601889</v>
      </c>
      <c r="F41" s="6">
        <v>1.8816011465198099</v>
      </c>
      <c r="G41" s="3">
        <v>799.46350834994291</v>
      </c>
      <c r="H41" s="3">
        <v>231.01888545102102</v>
      </c>
      <c r="I41" s="3">
        <f t="shared" si="0"/>
        <v>80.938657610626422</v>
      </c>
    </row>
    <row r="42" spans="2:25" x14ac:dyDescent="0.3">
      <c r="B42" s="32">
        <v>7</v>
      </c>
      <c r="C42" s="3">
        <v>328.15</v>
      </c>
      <c r="D42" s="4">
        <v>9124.0875912408756</v>
      </c>
      <c r="E42" s="3">
        <v>427.37611738856413</v>
      </c>
      <c r="F42" s="6">
        <v>1.72122584179495</v>
      </c>
      <c r="G42" s="3">
        <v>799.46350834994291</v>
      </c>
      <c r="H42" s="3">
        <v>224.34458467728319</v>
      </c>
      <c r="I42" s="3">
        <f t="shared" si="0"/>
        <v>55</v>
      </c>
    </row>
    <row r="43" spans="2:25" x14ac:dyDescent="0.3">
      <c r="B43" s="32">
        <v>19</v>
      </c>
      <c r="C43" s="3">
        <v>298.14999999999998</v>
      </c>
      <c r="D43" s="4">
        <v>101.325</v>
      </c>
      <c r="E43" s="3">
        <v>104.92011957080643</v>
      </c>
      <c r="F43" s="3">
        <v>0.36719964130372146</v>
      </c>
      <c r="G43" s="3">
        <v>9.3513890741139208E-2</v>
      </c>
      <c r="H43" s="3">
        <v>2.5073905791015251E-5</v>
      </c>
      <c r="I43" s="3">
        <f t="shared" si="0"/>
        <v>25</v>
      </c>
    </row>
    <row r="44" spans="2:25" x14ac:dyDescent="0.3">
      <c r="B44" s="32">
        <v>20</v>
      </c>
      <c r="C44" s="3">
        <v>353.0886576106264</v>
      </c>
      <c r="D44" s="4">
        <v>101.325</v>
      </c>
      <c r="E44" s="3">
        <v>334.79782589110334</v>
      </c>
      <c r="F44" s="3">
        <v>1.0748138131181144</v>
      </c>
      <c r="G44" s="3">
        <v>9.3513890741139208E-2</v>
      </c>
      <c r="H44" s="3">
        <v>18.902566067741457</v>
      </c>
      <c r="I44" s="3">
        <f t="shared" si="0"/>
        <v>79.938657610626422</v>
      </c>
    </row>
  </sheetData>
  <mergeCells count="8">
    <mergeCell ref="S21:T21"/>
    <mergeCell ref="N26:O26"/>
    <mergeCell ref="K2:L2"/>
    <mergeCell ref="K19:L19"/>
    <mergeCell ref="Q2:R2"/>
    <mergeCell ref="Q21:R21"/>
    <mergeCell ref="N2:O2"/>
    <mergeCell ref="N14:O14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BA90F-813A-493D-869A-57A3178EDC43}">
  <dimension ref="A1:M28"/>
  <sheetViews>
    <sheetView workbookViewId="0">
      <selection activeCell="K2" sqref="K2:M2"/>
    </sheetView>
  </sheetViews>
  <sheetFormatPr baseColWidth="10" defaultRowHeight="14.4" x14ac:dyDescent="0.3"/>
  <cols>
    <col min="2" max="2" width="22.77734375" bestFit="1" customWidth="1"/>
    <col min="3" max="3" width="12.6640625" bestFit="1" customWidth="1"/>
    <col min="5" max="5" width="14.44140625" bestFit="1" customWidth="1"/>
    <col min="6" max="6" width="12.6640625" bestFit="1" customWidth="1"/>
    <col min="8" max="8" width="12.6640625" bestFit="1" customWidth="1"/>
    <col min="11" max="11" width="14.77734375" bestFit="1" customWidth="1"/>
    <col min="12" max="12" width="15.33203125" bestFit="1" customWidth="1"/>
    <col min="13" max="13" width="22.33203125" bestFit="1" customWidth="1"/>
  </cols>
  <sheetData>
    <row r="1" spans="1:13" x14ac:dyDescent="0.3">
      <c r="A1" s="1" t="s">
        <v>235</v>
      </c>
      <c r="B1" s="1" t="s">
        <v>236</v>
      </c>
      <c r="C1" s="1" t="s">
        <v>201</v>
      </c>
      <c r="E1" s="1" t="s">
        <v>226</v>
      </c>
      <c r="F1" s="1" t="s">
        <v>231</v>
      </c>
      <c r="G1" s="1" t="s">
        <v>232</v>
      </c>
      <c r="H1" s="1" t="s">
        <v>233</v>
      </c>
      <c r="I1" s="1" t="s">
        <v>234</v>
      </c>
      <c r="K1" s="1" t="s">
        <v>237</v>
      </c>
      <c r="L1" s="1" t="s">
        <v>238</v>
      </c>
      <c r="M1" s="1" t="s">
        <v>239</v>
      </c>
    </row>
    <row r="2" spans="1:13" x14ac:dyDescent="0.3">
      <c r="A2" t="s">
        <v>202</v>
      </c>
      <c r="B2">
        <v>9.2705168398387522E-2</v>
      </c>
      <c r="C2">
        <v>70141.877427241488</v>
      </c>
      <c r="E2" t="s">
        <v>66</v>
      </c>
      <c r="F2">
        <v>25031.935161652607</v>
      </c>
      <c r="G2">
        <v>1541.2694860114752</v>
      </c>
      <c r="H2">
        <v>142.88364724798998</v>
      </c>
      <c r="I2">
        <v>99.432434257689778</v>
      </c>
      <c r="K2" s="25">
        <v>0.351638456117429</v>
      </c>
      <c r="L2" s="25">
        <v>1.9005496689146004</v>
      </c>
      <c r="M2" s="25">
        <v>0.27102443565787682</v>
      </c>
    </row>
    <row r="3" spans="1:13" x14ac:dyDescent="0.3">
      <c r="A3" t="s">
        <v>203</v>
      </c>
      <c r="B3">
        <v>9.2705168398387522E-2</v>
      </c>
      <c r="C3">
        <v>63627.369185011448</v>
      </c>
      <c r="E3" t="s">
        <v>67</v>
      </c>
      <c r="F3">
        <v>8882.596502083512</v>
      </c>
      <c r="G3">
        <v>2806.532548235491</v>
      </c>
      <c r="H3">
        <v>246.28271463304634</v>
      </c>
      <c r="I3">
        <v>97.302158252000311</v>
      </c>
    </row>
    <row r="4" spans="1:13" x14ac:dyDescent="0.3">
      <c r="A4" t="s">
        <v>204</v>
      </c>
      <c r="B4">
        <v>8.7753379089755418E-2</v>
      </c>
      <c r="C4">
        <v>64630.600808244235</v>
      </c>
      <c r="E4" t="s">
        <v>69</v>
      </c>
      <c r="F4">
        <v>271.11169102991431</v>
      </c>
      <c r="G4">
        <v>3117.3934843303709</v>
      </c>
      <c r="H4">
        <v>844.88980981418104</v>
      </c>
      <c r="I4">
        <v>24.293129608235933</v>
      </c>
    </row>
    <row r="5" spans="1:13" x14ac:dyDescent="0.3">
      <c r="A5" t="s">
        <v>205</v>
      </c>
      <c r="B5">
        <v>8.7753379089755418E-2</v>
      </c>
      <c r="C5">
        <v>53872.817520246113</v>
      </c>
      <c r="E5" t="s">
        <v>70</v>
      </c>
      <c r="F5">
        <v>68.005339576619249</v>
      </c>
      <c r="G5">
        <v>1138.33305276341</v>
      </c>
      <c r="H5">
        <v>308.51607321591132</v>
      </c>
      <c r="I5">
        <v>18.06147997593202</v>
      </c>
    </row>
    <row r="6" spans="1:13" x14ac:dyDescent="0.3">
      <c r="A6" t="s">
        <v>206</v>
      </c>
      <c r="B6">
        <v>8.7753379089755432E-2</v>
      </c>
      <c r="C6">
        <v>28561.645764850608</v>
      </c>
      <c r="E6" t="s">
        <v>59</v>
      </c>
      <c r="F6">
        <v>39.725992780971197</v>
      </c>
      <c r="G6">
        <v>3469.1288051136653</v>
      </c>
      <c r="H6">
        <v>304.42777514632974</v>
      </c>
      <c r="I6">
        <v>11.543093954840245</v>
      </c>
    </row>
    <row r="7" spans="1:13" x14ac:dyDescent="0.3">
      <c r="A7" t="s">
        <v>207</v>
      </c>
      <c r="B7">
        <v>8.7753379089755459E-2</v>
      </c>
      <c r="C7">
        <v>22554.498305434041</v>
      </c>
      <c r="E7" t="s">
        <v>60</v>
      </c>
      <c r="F7">
        <v>17.999232996962466</v>
      </c>
      <c r="G7">
        <v>7142.9330882120803</v>
      </c>
      <c r="H7">
        <v>626.81651510263214</v>
      </c>
      <c r="I7">
        <v>2.7913761489247011</v>
      </c>
    </row>
    <row r="8" spans="1:13" x14ac:dyDescent="0.3">
      <c r="A8" t="s">
        <v>208</v>
      </c>
      <c r="B8">
        <v>8.8056030807238755E-2</v>
      </c>
      <c r="C8">
        <v>15792.343037709175</v>
      </c>
      <c r="E8" t="s">
        <v>253</v>
      </c>
      <c r="F8">
        <v>4.3558031700714581</v>
      </c>
      <c r="G8">
        <v>7945.7510262283686</v>
      </c>
      <c r="H8">
        <v>697.26650195743093</v>
      </c>
      <c r="I8">
        <v>0.62081879926549643</v>
      </c>
    </row>
    <row r="9" spans="1:13" x14ac:dyDescent="0.3">
      <c r="A9" t="s">
        <v>209</v>
      </c>
      <c r="B9">
        <v>0.12349953512734348</v>
      </c>
      <c r="C9">
        <v>26536.056257462154</v>
      </c>
      <c r="E9" t="s">
        <v>254</v>
      </c>
      <c r="F9">
        <v>0.10137910288596741</v>
      </c>
      <c r="G9">
        <v>433.46994194346053</v>
      </c>
      <c r="H9">
        <v>93.762351896132586</v>
      </c>
      <c r="I9">
        <v>0.10800668352617204</v>
      </c>
    </row>
    <row r="10" spans="1:13" x14ac:dyDescent="0.3">
      <c r="A10" t="s">
        <v>210</v>
      </c>
      <c r="B10">
        <v>0.11789864797223976</v>
      </c>
      <c r="C10">
        <v>32561.202949875686</v>
      </c>
      <c r="E10" t="s">
        <v>228</v>
      </c>
      <c r="F10">
        <v>74.544987755493182</v>
      </c>
      <c r="G10">
        <v>1033.0018156282754</v>
      </c>
      <c r="H10">
        <v>223.44497362844987</v>
      </c>
      <c r="I10">
        <v>25.015939264962761</v>
      </c>
    </row>
    <row r="11" spans="1:13" x14ac:dyDescent="0.3">
      <c r="A11" t="s">
        <v>211</v>
      </c>
      <c r="B11">
        <v>0.14010474406283235</v>
      </c>
      <c r="C11">
        <v>9705.9762711685507</v>
      </c>
      <c r="E11" t="s">
        <v>229</v>
      </c>
      <c r="F11">
        <v>0.19512857408974876</v>
      </c>
      <c r="G11">
        <v>0.8394965871715695</v>
      </c>
      <c r="H11">
        <v>0.22752408877488822</v>
      </c>
      <c r="I11">
        <v>46.167596050907314</v>
      </c>
    </row>
    <row r="12" spans="1:13" x14ac:dyDescent="0.3">
      <c r="A12" t="s">
        <v>212</v>
      </c>
      <c r="B12">
        <v>0.12235178057549123</v>
      </c>
      <c r="C12">
        <v>42267.179221044236</v>
      </c>
      <c r="E12" t="s">
        <v>255</v>
      </c>
      <c r="F12">
        <v>1.1689883797277512</v>
      </c>
      <c r="G12">
        <v>2949.3048299776801</v>
      </c>
      <c r="H12">
        <v>637.95370926411374</v>
      </c>
      <c r="I12">
        <v>0.18290515796689533</v>
      </c>
    </row>
    <row r="13" spans="1:13" x14ac:dyDescent="0.3">
      <c r="A13" t="s">
        <v>213</v>
      </c>
      <c r="B13">
        <v>0.10725837525653287</v>
      </c>
      <c r="C13">
        <v>67618.07696922071</v>
      </c>
      <c r="E13" t="s">
        <v>63</v>
      </c>
      <c r="F13">
        <v>0.34344487093177295</v>
      </c>
      <c r="G13">
        <v>397.40619041460195</v>
      </c>
      <c r="H13">
        <v>34.873736080068078</v>
      </c>
      <c r="I13">
        <v>0.97521965602423433</v>
      </c>
    </row>
    <row r="14" spans="1:13" x14ac:dyDescent="0.3">
      <c r="A14" t="s">
        <v>214</v>
      </c>
      <c r="B14">
        <v>8.7753379089755418E-2</v>
      </c>
      <c r="C14">
        <v>4522.999961098898</v>
      </c>
      <c r="E14" s="24" t="s">
        <v>230</v>
      </c>
      <c r="F14" s="24">
        <v>70.662871789501864</v>
      </c>
      <c r="G14" s="24">
        <v>5334.0922622019607</v>
      </c>
      <c r="H14" s="24">
        <v>469.69899256910952</v>
      </c>
      <c r="I14" s="24">
        <v>13.076953880410485</v>
      </c>
    </row>
    <row r="15" spans="1:13" x14ac:dyDescent="0.3">
      <c r="A15" t="s">
        <v>215</v>
      </c>
      <c r="B15">
        <v>8.775337908975539E-2</v>
      </c>
      <c r="C15">
        <v>18031.498344335127</v>
      </c>
      <c r="E15" t="s">
        <v>172</v>
      </c>
      <c r="F15">
        <v>385.30984394830051</v>
      </c>
      <c r="G15">
        <v>5942.7230807089181</v>
      </c>
      <c r="H15">
        <v>1610.6231692201736</v>
      </c>
      <c r="I15">
        <v>19.304748275927082</v>
      </c>
    </row>
    <row r="16" spans="1:13" x14ac:dyDescent="0.3">
      <c r="A16" t="s">
        <v>216</v>
      </c>
      <c r="B16">
        <v>8.775337908975539E-2</v>
      </c>
      <c r="C16">
        <v>16262.827792951006</v>
      </c>
    </row>
    <row r="17" spans="1:3" x14ac:dyDescent="0.3">
      <c r="A17" t="s">
        <v>217</v>
      </c>
      <c r="B17">
        <v>8.8056030807238714E-2</v>
      </c>
      <c r="C17">
        <v>16263.171237821938</v>
      </c>
    </row>
    <row r="18" spans="1:3" x14ac:dyDescent="0.3">
      <c r="A18" t="s">
        <v>227</v>
      </c>
      <c r="B18">
        <v>2E-3</v>
      </c>
      <c r="C18">
        <v>4.6895169731892359E-9</v>
      </c>
    </row>
    <row r="19" spans="1:3" x14ac:dyDescent="0.3">
      <c r="A19" t="s">
        <v>218</v>
      </c>
      <c r="B19">
        <v>306.33344083406104</v>
      </c>
      <c r="C19">
        <v>541.49107190695611</v>
      </c>
    </row>
    <row r="20" spans="1:3" x14ac:dyDescent="0.3">
      <c r="A20" t="s">
        <v>219</v>
      </c>
      <c r="B20">
        <v>0.21630646746980772</v>
      </c>
      <c r="C20">
        <v>2890.1860602999263</v>
      </c>
    </row>
    <row r="21" spans="1:3" x14ac:dyDescent="0.3">
      <c r="A21" t="s">
        <v>220</v>
      </c>
      <c r="B21">
        <v>0.21630646746980772</v>
      </c>
      <c r="C21">
        <v>1114.1010356965394</v>
      </c>
    </row>
    <row r="22" spans="1:3" x14ac:dyDescent="0.3">
      <c r="A22" t="s">
        <v>251</v>
      </c>
      <c r="B22">
        <v>0.21630646746980767</v>
      </c>
      <c r="C22">
        <v>794.88651034824022</v>
      </c>
    </row>
    <row r="23" spans="1:3" x14ac:dyDescent="0.3">
      <c r="A23" t="s">
        <v>221</v>
      </c>
      <c r="B23">
        <v>8.478191259130254</v>
      </c>
      <c r="C23">
        <v>796.05549872796803</v>
      </c>
    </row>
    <row r="24" spans="1:3" x14ac:dyDescent="0.3">
      <c r="A24" t="s">
        <v>222</v>
      </c>
      <c r="B24">
        <v>8.0644583155531944</v>
      </c>
      <c r="C24">
        <v>797.84380129454769</v>
      </c>
    </row>
    <row r="25" spans="1:3" x14ac:dyDescent="0.3">
      <c r="A25" t="s">
        <v>252</v>
      </c>
      <c r="B25">
        <v>0.97892168860970719</v>
      </c>
      <c r="C25">
        <v>1117.1597057457327</v>
      </c>
    </row>
    <row r="26" spans="1:3" x14ac:dyDescent="0.3">
      <c r="A26" t="s">
        <v>223</v>
      </c>
      <c r="B26">
        <v>1.9005496689146004</v>
      </c>
      <c r="C26">
        <v>2329.1203304082451</v>
      </c>
    </row>
    <row r="27" spans="1:3" x14ac:dyDescent="0.3">
      <c r="A27" t="s">
        <v>224</v>
      </c>
      <c r="B27">
        <v>0</v>
      </c>
      <c r="C27">
        <v>0</v>
      </c>
    </row>
    <row r="28" spans="1:3" x14ac:dyDescent="0.3">
      <c r="A28" s="24" t="s">
        <v>225</v>
      </c>
      <c r="B28" s="24">
        <v>0.27102443565787682</v>
      </c>
      <c r="C28" s="24">
        <v>1943.8104864599447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0693F-D387-4367-8A44-8725A6CA7BA7}">
  <dimension ref="A1:AF33"/>
  <sheetViews>
    <sheetView topLeftCell="T1" workbookViewId="0">
      <selection activeCell="U21" sqref="U21"/>
    </sheetView>
  </sheetViews>
  <sheetFormatPr baseColWidth="10" defaultRowHeight="14.4" x14ac:dyDescent="0.3"/>
  <sheetData>
    <row r="1" spans="1:32" x14ac:dyDescent="0.3">
      <c r="B1" t="s">
        <v>129</v>
      </c>
      <c r="C1" t="s">
        <v>37</v>
      </c>
      <c r="D1" t="s">
        <v>38</v>
      </c>
      <c r="E1" t="s">
        <v>39</v>
      </c>
      <c r="F1" t="s">
        <v>130</v>
      </c>
      <c r="G1" t="s">
        <v>131</v>
      </c>
      <c r="H1" t="s">
        <v>132</v>
      </c>
      <c r="I1" t="s">
        <v>133</v>
      </c>
      <c r="J1" t="s">
        <v>192</v>
      </c>
      <c r="K1" t="s">
        <v>193</v>
      </c>
      <c r="L1" t="s">
        <v>194</v>
      </c>
      <c r="M1" t="s">
        <v>134</v>
      </c>
      <c r="N1" t="s">
        <v>135</v>
      </c>
      <c r="O1" t="s">
        <v>136</v>
      </c>
      <c r="P1" t="s">
        <v>137</v>
      </c>
      <c r="Q1" t="s">
        <v>138</v>
      </c>
      <c r="R1" t="s">
        <v>139</v>
      </c>
      <c r="S1" t="s">
        <v>140</v>
      </c>
      <c r="T1" t="s">
        <v>141</v>
      </c>
      <c r="U1" t="s">
        <v>142</v>
      </c>
      <c r="V1" t="s">
        <v>143</v>
      </c>
      <c r="W1" t="s">
        <v>144</v>
      </c>
      <c r="X1" t="s">
        <v>145</v>
      </c>
      <c r="Y1" t="s">
        <v>146</v>
      </c>
      <c r="Z1" t="s">
        <v>147</v>
      </c>
      <c r="AA1" t="s">
        <v>148</v>
      </c>
      <c r="AB1" t="s">
        <v>149</v>
      </c>
      <c r="AC1" t="s">
        <v>150</v>
      </c>
      <c r="AD1" t="s">
        <v>151</v>
      </c>
      <c r="AE1" t="s">
        <v>152</v>
      </c>
      <c r="AF1" t="s">
        <v>189</v>
      </c>
    </row>
    <row r="2" spans="1:32" x14ac:dyDescent="0.3">
      <c r="A2" t="s">
        <v>153</v>
      </c>
      <c r="B2" t="s">
        <v>154</v>
      </c>
      <c r="C2">
        <v>1</v>
      </c>
      <c r="D2">
        <v>-1</v>
      </c>
      <c r="X2">
        <v>-1</v>
      </c>
    </row>
    <row r="3" spans="1:32" x14ac:dyDescent="0.3">
      <c r="A3" t="s">
        <v>175</v>
      </c>
      <c r="B3">
        <v>0</v>
      </c>
      <c r="C3">
        <v>-1</v>
      </c>
      <c r="D3" t="s">
        <v>176</v>
      </c>
    </row>
    <row r="4" spans="1:32" x14ac:dyDescent="0.3">
      <c r="A4" t="s">
        <v>155</v>
      </c>
      <c r="B4" t="s">
        <v>156</v>
      </c>
      <c r="E4">
        <v>1</v>
      </c>
      <c r="F4">
        <v>-1</v>
      </c>
      <c r="Z4">
        <v>-1</v>
      </c>
    </row>
    <row r="5" spans="1:32" x14ac:dyDescent="0.3">
      <c r="A5" t="s">
        <v>186</v>
      </c>
      <c r="B5">
        <v>0</v>
      </c>
      <c r="E5">
        <v>-1</v>
      </c>
      <c r="F5" t="s">
        <v>177</v>
      </c>
    </row>
    <row r="6" spans="1:32" x14ac:dyDescent="0.3">
      <c r="A6" t="s">
        <v>37</v>
      </c>
      <c r="B6" t="s">
        <v>157</v>
      </c>
      <c r="M6">
        <v>1</v>
      </c>
      <c r="N6">
        <v>-1</v>
      </c>
      <c r="AA6">
        <v>1</v>
      </c>
    </row>
    <row r="7" spans="1:32" x14ac:dyDescent="0.3">
      <c r="A7" t="s">
        <v>38</v>
      </c>
      <c r="B7" t="s">
        <v>158</v>
      </c>
      <c r="J7">
        <v>1</v>
      </c>
      <c r="P7">
        <v>-1</v>
      </c>
      <c r="AB7">
        <v>1</v>
      </c>
    </row>
    <row r="8" spans="1:32" x14ac:dyDescent="0.3">
      <c r="A8" t="s">
        <v>59</v>
      </c>
      <c r="B8" t="s">
        <v>159</v>
      </c>
      <c r="F8">
        <v>1</v>
      </c>
      <c r="G8">
        <v>-1</v>
      </c>
      <c r="Q8">
        <v>1</v>
      </c>
      <c r="R8">
        <v>-1</v>
      </c>
    </row>
    <row r="9" spans="1:32" x14ac:dyDescent="0.3">
      <c r="A9" t="s">
        <v>178</v>
      </c>
      <c r="B9">
        <v>0</v>
      </c>
      <c r="F9">
        <v>-1</v>
      </c>
      <c r="G9" t="s">
        <v>180</v>
      </c>
    </row>
    <row r="10" spans="1:32" x14ac:dyDescent="0.3">
      <c r="A10" t="s">
        <v>60</v>
      </c>
      <c r="B10" t="s">
        <v>160</v>
      </c>
      <c r="G10">
        <v>1</v>
      </c>
      <c r="H10">
        <v>-1</v>
      </c>
      <c r="N10">
        <v>1</v>
      </c>
      <c r="O10">
        <v>-1</v>
      </c>
    </row>
    <row r="11" spans="1:32" x14ac:dyDescent="0.3">
      <c r="A11" t="s">
        <v>179</v>
      </c>
      <c r="B11">
        <v>0</v>
      </c>
      <c r="G11">
        <v>-1</v>
      </c>
      <c r="H11" t="s">
        <v>181</v>
      </c>
    </row>
    <row r="12" spans="1:32" x14ac:dyDescent="0.3">
      <c r="A12" t="s">
        <v>182</v>
      </c>
      <c r="B12">
        <v>0</v>
      </c>
      <c r="O12">
        <v>1</v>
      </c>
      <c r="P12">
        <v>1</v>
      </c>
      <c r="Q12">
        <v>-1</v>
      </c>
    </row>
    <row r="13" spans="1:32" x14ac:dyDescent="0.3">
      <c r="A13" t="s">
        <v>161</v>
      </c>
      <c r="B13" t="s">
        <v>162</v>
      </c>
      <c r="K13">
        <v>-1</v>
      </c>
      <c r="L13">
        <v>1</v>
      </c>
    </row>
    <row r="14" spans="1:32" x14ac:dyDescent="0.3">
      <c r="A14" t="s">
        <v>197</v>
      </c>
      <c r="B14">
        <v>0</v>
      </c>
      <c r="K14" t="s">
        <v>198</v>
      </c>
      <c r="L14">
        <v>-1</v>
      </c>
    </row>
    <row r="15" spans="1:32" x14ac:dyDescent="0.3">
      <c r="A15" t="s">
        <v>64</v>
      </c>
      <c r="B15" t="s">
        <v>163</v>
      </c>
      <c r="K15">
        <v>1</v>
      </c>
      <c r="M15">
        <v>-1</v>
      </c>
      <c r="W15">
        <v>-1</v>
      </c>
    </row>
    <row r="16" spans="1:32" x14ac:dyDescent="0.3">
      <c r="A16" t="s">
        <v>183</v>
      </c>
      <c r="B16">
        <v>0</v>
      </c>
      <c r="K16">
        <v>-1</v>
      </c>
      <c r="M16" t="s">
        <v>184</v>
      </c>
    </row>
    <row r="17" spans="1:32" x14ac:dyDescent="0.3">
      <c r="A17" t="s">
        <v>164</v>
      </c>
      <c r="B17" t="s">
        <v>165</v>
      </c>
      <c r="S17">
        <v>1</v>
      </c>
      <c r="T17">
        <v>-1</v>
      </c>
      <c r="AE17">
        <v>-1</v>
      </c>
    </row>
    <row r="18" spans="1:32" x14ac:dyDescent="0.3">
      <c r="A18" t="s">
        <v>185</v>
      </c>
      <c r="B18">
        <v>0</v>
      </c>
      <c r="S18">
        <v>-1</v>
      </c>
      <c r="T18" t="s">
        <v>187</v>
      </c>
    </row>
    <row r="19" spans="1:32" x14ac:dyDescent="0.3">
      <c r="A19" t="s">
        <v>166</v>
      </c>
      <c r="B19" t="s">
        <v>167</v>
      </c>
      <c r="U19">
        <v>1</v>
      </c>
      <c r="V19">
        <v>-1</v>
      </c>
      <c r="AF19">
        <v>1</v>
      </c>
    </row>
    <row r="20" spans="1:32" x14ac:dyDescent="0.3">
      <c r="A20" t="s">
        <v>188</v>
      </c>
      <c r="B20">
        <v>0</v>
      </c>
      <c r="AE20" t="s">
        <v>190</v>
      </c>
      <c r="AF20">
        <v>-1</v>
      </c>
    </row>
    <row r="21" spans="1:32" x14ac:dyDescent="0.3">
      <c r="A21" t="s">
        <v>168</v>
      </c>
      <c r="B21" t="s">
        <v>169</v>
      </c>
      <c r="T21">
        <v>1</v>
      </c>
      <c r="U21">
        <v>-1</v>
      </c>
    </row>
    <row r="22" spans="1:32" x14ac:dyDescent="0.3">
      <c r="A22" t="s">
        <v>174</v>
      </c>
      <c r="B22">
        <v>0</v>
      </c>
      <c r="T22">
        <v>-1</v>
      </c>
      <c r="U22" t="s">
        <v>199</v>
      </c>
    </row>
    <row r="23" spans="1:32" x14ac:dyDescent="0.3">
      <c r="A23" t="s">
        <v>170</v>
      </c>
      <c r="B23" t="s">
        <v>171</v>
      </c>
      <c r="I23">
        <v>1</v>
      </c>
      <c r="L23">
        <v>-1</v>
      </c>
      <c r="S23">
        <v>-1</v>
      </c>
      <c r="V23">
        <v>1</v>
      </c>
    </row>
    <row r="24" spans="1:32" x14ac:dyDescent="0.3">
      <c r="A24" t="s">
        <v>191</v>
      </c>
      <c r="B24">
        <v>0</v>
      </c>
      <c r="I24">
        <v>-1</v>
      </c>
      <c r="K24" t="s">
        <v>195</v>
      </c>
    </row>
    <row r="25" spans="1:32" x14ac:dyDescent="0.3">
      <c r="A25" t="s">
        <v>172</v>
      </c>
      <c r="B25" t="s">
        <v>173</v>
      </c>
      <c r="W25">
        <v>1</v>
      </c>
      <c r="Y25">
        <v>1</v>
      </c>
      <c r="AC25">
        <v>-1</v>
      </c>
      <c r="AD25">
        <v>-1</v>
      </c>
    </row>
    <row r="32" spans="1:32" x14ac:dyDescent="0.3">
      <c r="A32" t="s">
        <v>196</v>
      </c>
    </row>
    <row r="33" spans="1:1" x14ac:dyDescent="0.3">
      <c r="A33" t="s"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</vt:lpstr>
      <vt:lpstr>rc</vt:lpstr>
      <vt:lpstr>nt</vt:lpstr>
      <vt:lpstr>nc</vt:lpstr>
      <vt:lpstr>Energy_Exergy</vt:lpstr>
      <vt:lpstr>Exergoeconomico</vt:lpstr>
      <vt:lpstr>EXERGO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Iglesias</dc:creator>
  <cp:lastModifiedBy>Adrian Iglesias</cp:lastModifiedBy>
  <dcterms:created xsi:type="dcterms:W3CDTF">2026-01-05T23:58:20Z</dcterms:created>
  <dcterms:modified xsi:type="dcterms:W3CDTF">2026-04-14T03:25:57Z</dcterms:modified>
</cp:coreProperties>
</file>