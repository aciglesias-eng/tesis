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ih0\Documents\CODIGO\tesis\"/>
    </mc:Choice>
  </mc:AlternateContent>
  <xr:revisionPtr revIDLastSave="0" documentId="13_ncr:1_{696BD113-F08B-433B-BCFC-F1438E51495D}" xr6:coauthVersionLast="47" xr6:coauthVersionMax="47" xr10:uidLastSave="{00000000-0000-0000-0000-000000000000}"/>
  <bookViews>
    <workbookView xWindow="-96" yWindow="0" windowWidth="11712" windowHeight="13056" activeTab="2" xr2:uid="{C4CE93A3-0861-4D2C-B953-37868A8DFB1C}"/>
  </bookViews>
  <sheets>
    <sheet name="T" sheetId="3" r:id="rId1"/>
    <sheet name="Energy_Exergy" sheetId="2" r:id="rId2"/>
    <sheet name="EXERG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2" l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3" i="2"/>
</calcChain>
</file>

<file path=xl/sharedStrings.xml><?xml version="1.0" encoding="utf-8"?>
<sst xmlns="http://schemas.openxmlformats.org/spreadsheetml/2006/main" count="228" uniqueCount="202">
  <si>
    <t>T [°C]</t>
  </si>
  <si>
    <t>n_ex [%]</t>
  </si>
  <si>
    <t>n_th [%]</t>
  </si>
  <si>
    <t>n_en_PEM [%]</t>
  </si>
  <si>
    <t>n_ex_PEM [%]</t>
  </si>
  <si>
    <t>T_in_PEM [°C]</t>
  </si>
  <si>
    <t>m_H2 [kg/h]</t>
  </si>
  <si>
    <t>m_H2O_in [kg/h]</t>
  </si>
  <si>
    <t>XD Compresor 1 [kW]</t>
  </si>
  <si>
    <t>XD Compresor 2 [kW]</t>
  </si>
  <si>
    <t>XD Turbina 1 [kW]</t>
  </si>
  <si>
    <t>XD Turbina 2 [kW]</t>
  </si>
  <si>
    <t>XD HTR [kW]</t>
  </si>
  <si>
    <t>XD LTR [kW]</t>
  </si>
  <si>
    <t>XD Loss field [kW]</t>
  </si>
  <si>
    <t>XD Cooler [kW]</t>
  </si>
  <si>
    <t>XD Pérdida aire [kW]</t>
  </si>
  <si>
    <t>XD Evaporador 1 [kW]</t>
  </si>
  <si>
    <t>XD Condensador [kW]</t>
  </si>
  <si>
    <t>XD Pérdida agua [kW]</t>
  </si>
  <si>
    <t>Exergía solar aportada [kW]</t>
  </si>
  <si>
    <t>Exergía destruida total [kW]</t>
  </si>
  <si>
    <t>State</t>
  </si>
  <si>
    <t>T [K]</t>
  </si>
  <si>
    <t>P [kPa]</t>
  </si>
  <si>
    <t>h [kJ/kg]</t>
  </si>
  <si>
    <t>s [kJ/kg-K]</t>
  </si>
  <si>
    <t>m [kg/s]</t>
  </si>
  <si>
    <t>16vs</t>
  </si>
  <si>
    <t>6AI</t>
  </si>
  <si>
    <t>6AO1</t>
  </si>
  <si>
    <t>6AO2</t>
  </si>
  <si>
    <t>6AO3</t>
  </si>
  <si>
    <t>6AO</t>
  </si>
  <si>
    <t>6BI</t>
  </si>
  <si>
    <t>15ls</t>
  </si>
  <si>
    <t>15vs</t>
  </si>
  <si>
    <t>C1</t>
  </si>
  <si>
    <t>C2</t>
  </si>
  <si>
    <t>C3</t>
  </si>
  <si>
    <t>Componentes</t>
  </si>
  <si>
    <t>Valor</t>
  </si>
  <si>
    <t>Q_Heater</t>
  </si>
  <si>
    <t>Q_Re-heater</t>
  </si>
  <si>
    <t>Q_HTR</t>
  </si>
  <si>
    <t>Q_LTR</t>
  </si>
  <si>
    <t>Q_Cooler</t>
  </si>
  <si>
    <t>Q_total</t>
  </si>
  <si>
    <t>Q_Evap_etapa1</t>
  </si>
  <si>
    <t>Q_Evap_etapa2</t>
  </si>
  <si>
    <t>Q_Evap_etapa3</t>
  </si>
  <si>
    <t>Q_Evap_total</t>
  </si>
  <si>
    <t>Q_Cond_etapa1</t>
  </si>
  <si>
    <t>Q_Cond_total</t>
  </si>
  <si>
    <t>Q_Cond_etapa2</t>
  </si>
  <si>
    <t>Q_HE</t>
  </si>
  <si>
    <t>Calor y Exergias [ MW]</t>
  </si>
  <si>
    <t>x [kJ/kgK]</t>
  </si>
  <si>
    <t>Areas [m2]</t>
  </si>
  <si>
    <t>HTR</t>
  </si>
  <si>
    <t>LTR</t>
  </si>
  <si>
    <t>Evaporador</t>
  </si>
  <si>
    <t>Condensador</t>
  </si>
  <si>
    <t>Cooler</t>
  </si>
  <si>
    <t>HE</t>
  </si>
  <si>
    <t>Potencias [ kW]</t>
  </si>
  <si>
    <t>Turbina 1</t>
  </si>
  <si>
    <t>Turbina 2</t>
  </si>
  <si>
    <t>Turbina 3</t>
  </si>
  <si>
    <t>Compresor 1</t>
  </si>
  <si>
    <t>Compresor 2</t>
  </si>
  <si>
    <t>Bomba 1</t>
  </si>
  <si>
    <t>W_SBCR</t>
  </si>
  <si>
    <t>W_ORC</t>
  </si>
  <si>
    <t>W_ORC + SBCR</t>
  </si>
  <si>
    <t>Eficiencias [%]</t>
  </si>
  <si>
    <t>Parametros Field solar</t>
  </si>
  <si>
    <t>nt</t>
  </si>
  <si>
    <t>Fi</t>
  </si>
  <si>
    <t>nfield</t>
  </si>
  <si>
    <t>nth_ORC</t>
  </si>
  <si>
    <t>nth_SBCR</t>
  </si>
  <si>
    <t>nth_PEM</t>
  </si>
  <si>
    <t>nth_ciclo</t>
  </si>
  <si>
    <t>n_ciclo sin PEM</t>
  </si>
  <si>
    <t>nex_ORC</t>
  </si>
  <si>
    <t>nex_SBCR</t>
  </si>
  <si>
    <t>nex_PEM</t>
  </si>
  <si>
    <t>nex_ciclo</t>
  </si>
  <si>
    <t>nex_ciclo_2</t>
  </si>
  <si>
    <t>W Neto [MW]</t>
  </si>
  <si>
    <t>n_ciclo sin PEM[%]</t>
  </si>
  <si>
    <t>XD Turbina 3 [kW]</t>
  </si>
  <si>
    <t>XD Loss Solar receiver [kW]</t>
  </si>
  <si>
    <t>XD CSP [kW]</t>
  </si>
  <si>
    <t>XD Bomba 2 [kW]</t>
  </si>
  <si>
    <t>XD HE [kW]</t>
  </si>
  <si>
    <t>W_Rankine [MW]</t>
  </si>
  <si>
    <t>Y.Evap</t>
  </si>
  <si>
    <t>Y.Cond</t>
  </si>
  <si>
    <t>Y.HTR</t>
  </si>
  <si>
    <t>Y.HE</t>
  </si>
  <si>
    <t>Y.T1</t>
  </si>
  <si>
    <t>Y.T2</t>
  </si>
  <si>
    <t>Y.Cooler</t>
  </si>
  <si>
    <t>Y.LTR</t>
  </si>
  <si>
    <t>Y.T3</t>
  </si>
  <si>
    <t>Y.C1</t>
  </si>
  <si>
    <t>Y.C2</t>
  </si>
  <si>
    <t>Y.B2</t>
  </si>
  <si>
    <t xml:space="preserve">Y.wf </t>
  </si>
  <si>
    <t>Y.co2</t>
  </si>
  <si>
    <t>Y.CSP</t>
  </si>
  <si>
    <t>Yom total</t>
  </si>
  <si>
    <t>Yco total</t>
  </si>
  <si>
    <t>Yde total</t>
  </si>
  <si>
    <t>Impacto por componente [kgCO2-eq]</t>
  </si>
  <si>
    <t>Impacto por fases [kgCO2-eq]</t>
  </si>
  <si>
    <t>Fases</t>
  </si>
  <si>
    <t>EWR</t>
  </si>
  <si>
    <t>EEF</t>
  </si>
  <si>
    <t>ESI</t>
  </si>
  <si>
    <t>XD PEM [kW]</t>
  </si>
  <si>
    <t>Y.PEM</t>
  </si>
  <si>
    <t>Y total [kgCO2-eq/kWh]</t>
  </si>
  <si>
    <t>n_ex2 [%]</t>
  </si>
  <si>
    <t>Y PEM [kgCO2-eq/kgH2]</t>
  </si>
  <si>
    <t>Yom PEM</t>
  </si>
  <si>
    <t>Yco PEM</t>
  </si>
  <si>
    <t>Yde PEM</t>
  </si>
  <si>
    <t>Z</t>
  </si>
  <si>
    <t>C4</t>
  </si>
  <si>
    <t xml:space="preserve">C5 </t>
  </si>
  <si>
    <t>C6</t>
  </si>
  <si>
    <t>C6AI</t>
  </si>
  <si>
    <t>C7</t>
  </si>
  <si>
    <t>C8</t>
  </si>
  <si>
    <t>C9</t>
  </si>
  <si>
    <t>C10</t>
  </si>
  <si>
    <t>C11</t>
  </si>
  <si>
    <t>C12</t>
  </si>
  <si>
    <t>C15</t>
  </si>
  <si>
    <t>C16</t>
  </si>
  <si>
    <t>C17</t>
  </si>
  <si>
    <t>C18</t>
  </si>
  <si>
    <t>C20</t>
  </si>
  <si>
    <t>CWT1</t>
  </si>
  <si>
    <t>CNETO</t>
  </si>
  <si>
    <t>CWT2</t>
  </si>
  <si>
    <t>CWC1</t>
  </si>
  <si>
    <t>CWC2</t>
  </si>
  <si>
    <t>CH2</t>
  </si>
  <si>
    <t>CO2</t>
  </si>
  <si>
    <t>CWT3</t>
  </si>
  <si>
    <t>T1</t>
  </si>
  <si>
    <t>"-ZT1"</t>
  </si>
  <si>
    <t>T2</t>
  </si>
  <si>
    <t>"-ZT2"</t>
  </si>
  <si>
    <t>"-ZC1"</t>
  </si>
  <si>
    <t>"-ZC2"</t>
  </si>
  <si>
    <t>"-ZHTR"</t>
  </si>
  <si>
    <t>"-ZLTR"</t>
  </si>
  <si>
    <t>COOLER</t>
  </si>
  <si>
    <t>"-ZCOOLER"</t>
  </si>
  <si>
    <t>"-ZHE"</t>
  </si>
  <si>
    <t>T3</t>
  </si>
  <si>
    <t>"-ZT3"</t>
  </si>
  <si>
    <t>B2</t>
  </si>
  <si>
    <t>"-ZB2"</t>
  </si>
  <si>
    <t>COND</t>
  </si>
  <si>
    <t>"-ZCOND"</t>
  </si>
  <si>
    <t>EVAP</t>
  </si>
  <si>
    <t>"-ZEVAP"</t>
  </si>
  <si>
    <t>PEM</t>
  </si>
  <si>
    <t>"-ZPEM"</t>
  </si>
  <si>
    <t>AUX</t>
  </si>
  <si>
    <t>AUX T1</t>
  </si>
  <si>
    <t>E1/E2</t>
  </si>
  <si>
    <t>E3/E4</t>
  </si>
  <si>
    <t>AUX HTR</t>
  </si>
  <si>
    <t>AUX LTR</t>
  </si>
  <si>
    <t>E4/E5</t>
  </si>
  <si>
    <t>E5/E6</t>
  </si>
  <si>
    <t>AUX LTR 2</t>
  </si>
  <si>
    <t>AUX HE</t>
  </si>
  <si>
    <t>E6AO/E7</t>
  </si>
  <si>
    <t>AUX T3</t>
  </si>
  <si>
    <t>AUX T2</t>
  </si>
  <si>
    <t>E15/E16</t>
  </si>
  <si>
    <t>AUX B2</t>
  </si>
  <si>
    <t>WB2</t>
  </si>
  <si>
    <t>WB2/WT3</t>
  </si>
  <si>
    <t>AUX EVAP</t>
  </si>
  <si>
    <t>C6BI</t>
  </si>
  <si>
    <t>C6AO</t>
  </si>
  <si>
    <t>C6AO3</t>
  </si>
  <si>
    <t>E6AI/E6AO3</t>
  </si>
  <si>
    <t>30 incognitas</t>
  </si>
  <si>
    <t>AUX COOLER</t>
  </si>
  <si>
    <t>E6AO3/E6AO</t>
  </si>
  <si>
    <t>E16/E17</t>
  </si>
  <si>
    <t>24 ecuaciones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</si>
</sst>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0">
    <xf numFmtId="0" fontId="0" fillId="0" borderId="0" xfId="0"/>
    <xf numFmtId="0" fontId="2" fillId="2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2" fontId="0" fillId="0" borderId="0" xfId="0" applyNumberFormat="1"/>
    <xf numFmtId="165" fontId="0" fillId="0" borderId="0" xfId="0" applyNumberFormat="1"/>
    <xf numFmtId="0" fontId="2" fillId="2" borderId="3" xfId="0" applyFont="1" applyFill="1" applyBorder="1" applyAlignment="1">
      <alignment horizontal="center"/>
    </xf>
    <xf numFmtId="0" fontId="2" fillId="0" borderId="0" xfId="0" applyFont="1"/>
    <xf numFmtId="2" fontId="3" fillId="0" borderId="0" xfId="0" applyNumberFormat="1" applyFont="1"/>
    <xf numFmtId="0" fontId="2" fillId="0" borderId="3" xfId="0" applyFont="1" applyBorder="1"/>
    <xf numFmtId="2" fontId="3" fillId="0" borderId="3" xfId="0" applyNumberFormat="1" applyFont="1" applyBorder="1"/>
    <xf numFmtId="0" fontId="1" fillId="0" borderId="0" xfId="0" applyFont="1"/>
    <xf numFmtId="0" fontId="1" fillId="0" borderId="3" xfId="0" applyFont="1" applyBorder="1"/>
    <xf numFmtId="2" fontId="0" fillId="0" borderId="3" xfId="0" applyNumberFormat="1" applyBorder="1"/>
    <xf numFmtId="165" fontId="0" fillId="0" borderId="3" xfId="0" applyNumberFormat="1" applyBorder="1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0" fontId="1" fillId="3" borderId="0" xfId="0" applyFont="1" applyFill="1"/>
    <xf numFmtId="0" fontId="0" fillId="3" borderId="0" xfId="0" applyFill="1"/>
    <xf numFmtId="9" fontId="0" fillId="0" borderId="0" xfId="1" applyFont="1" applyAlignment="1">
      <alignment horizontal="center" vertical="center"/>
    </xf>
    <xf numFmtId="2" fontId="2" fillId="0" borderId="0" xfId="0" applyNumberFormat="1" applyFont="1"/>
    <xf numFmtId="2" fontId="0" fillId="3" borderId="0" xfId="1" applyNumberFormat="1" applyFont="1" applyFill="1"/>
    <xf numFmtId="0" fontId="2" fillId="2" borderId="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748145</xdr:colOff>
      <xdr:row>30</xdr:row>
      <xdr:rowOff>27709</xdr:rowOff>
    </xdr:from>
    <xdr:to>
      <xdr:col>19</xdr:col>
      <xdr:colOff>518172</xdr:colOff>
      <xdr:row>57</xdr:row>
      <xdr:rowOff>102952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9FF9945-73F5-ECD6-453A-B89521C4E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4319" y="5593622"/>
          <a:ext cx="10358514" cy="50845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889D7-F248-4C3B-B68C-D47001A5CC86}">
  <dimension ref="B2:AH39"/>
  <sheetViews>
    <sheetView topLeftCell="F19" zoomScale="115" zoomScaleNormal="115" workbookViewId="0">
      <selection activeCell="G42" sqref="G42"/>
    </sheetView>
  </sheetViews>
  <sheetFormatPr baseColWidth="10" defaultRowHeight="14.4" x14ac:dyDescent="0.3"/>
  <cols>
    <col min="1" max="1" width="11.5546875" style="17"/>
    <col min="2" max="2" width="5.5546875" style="17" bestFit="1" customWidth="1"/>
    <col min="3" max="4" width="18.6640625" style="17" bestFit="1" customWidth="1"/>
    <col min="5" max="5" width="16.44140625" style="17" bestFit="1" customWidth="1"/>
    <col min="6" max="6" width="20.5546875" style="17" bestFit="1" customWidth="1"/>
    <col min="7" max="7" width="20.88671875" style="17" bestFit="1" customWidth="1"/>
    <col min="8" max="8" width="12.77734375" style="17" bestFit="1" customWidth="1"/>
    <col min="9" max="9" width="12.6640625" style="17" bestFit="1" customWidth="1"/>
    <col min="10" max="10" width="23.44140625" style="17" bestFit="1" customWidth="1"/>
    <col min="11" max="11" width="15.6640625" style="17" bestFit="1" customWidth="1"/>
    <col min="12" max="12" width="14.88671875" style="17" bestFit="1" customWidth="1"/>
    <col min="13" max="13" width="13.5546875" style="17" bestFit="1" customWidth="1"/>
    <col min="14" max="14" width="17.88671875" style="17" bestFit="1" customWidth="1"/>
    <col min="15" max="16" width="19.109375" style="17" bestFit="1" customWidth="1"/>
    <col min="17" max="17" width="19" style="17" bestFit="1" customWidth="1"/>
    <col min="18" max="19" width="18.6640625" style="17" bestFit="1" customWidth="1"/>
    <col min="20" max="22" width="23.88671875" style="17" bestFit="1" customWidth="1"/>
    <col min="23" max="26" width="12" style="17" bestFit="1" customWidth="1"/>
    <col min="27" max="27" width="2" style="17" bestFit="1" customWidth="1"/>
    <col min="28" max="28" width="12" style="17" bestFit="1" customWidth="1"/>
    <col min="29" max="29" width="12.6640625" style="17" bestFit="1" customWidth="1"/>
    <col min="30" max="31" width="12" style="17" bestFit="1" customWidth="1"/>
    <col min="32" max="16384" width="11.5546875" style="17"/>
  </cols>
  <sheetData>
    <row r="2" spans="2:34" x14ac:dyDescent="0.3">
      <c r="B2" s="18" t="s">
        <v>0</v>
      </c>
      <c r="C2" s="18" t="s">
        <v>90</v>
      </c>
      <c r="D2" s="18" t="s">
        <v>97</v>
      </c>
      <c r="E2" s="18" t="s">
        <v>91</v>
      </c>
      <c r="F2" s="18" t="s">
        <v>1</v>
      </c>
      <c r="G2" s="18" t="s">
        <v>2</v>
      </c>
      <c r="H2" s="18" t="s">
        <v>3</v>
      </c>
      <c r="I2" s="18" t="s">
        <v>4</v>
      </c>
      <c r="J2" s="18" t="s">
        <v>5</v>
      </c>
      <c r="K2" s="18" t="s">
        <v>6</v>
      </c>
      <c r="L2" s="18" t="s">
        <v>7</v>
      </c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</row>
    <row r="3" spans="2:34" x14ac:dyDescent="0.3">
      <c r="B3" s="19">
        <v>500</v>
      </c>
      <c r="C3" s="19">
        <v>0.79959526453496776</v>
      </c>
      <c r="D3" s="17">
        <v>5.7474602609853757E-2</v>
      </c>
      <c r="E3" s="19">
        <v>44.242025146810107</v>
      </c>
      <c r="F3" s="19">
        <v>22.280941712184308</v>
      </c>
      <c r="G3" s="19">
        <v>42.805350727912341</v>
      </c>
      <c r="H3" s="19">
        <v>54.391713608301288</v>
      </c>
      <c r="I3" s="19">
        <v>53.43053490915559</v>
      </c>
      <c r="J3" s="19">
        <v>71.431846289059933</v>
      </c>
      <c r="K3" s="19">
        <v>0.94449159071981759</v>
      </c>
      <c r="L3" s="17">
        <v>8.4406216959654934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</row>
    <row r="4" spans="2:34" x14ac:dyDescent="0.3">
      <c r="B4" s="17">
        <v>550</v>
      </c>
      <c r="C4" s="17">
        <v>0.89972160669047219</v>
      </c>
      <c r="D4" s="17">
        <v>5.9775959042112747E-2</v>
      </c>
      <c r="E4" s="17">
        <v>46.738186634220291</v>
      </c>
      <c r="F4" s="17">
        <v>23.115653468129583</v>
      </c>
      <c r="G4" s="17">
        <v>45.32985739384808</v>
      </c>
      <c r="H4" s="17">
        <v>54.219471799935384</v>
      </c>
      <c r="I4" s="17">
        <v>53.258556160364932</v>
      </c>
      <c r="J4" s="17">
        <v>71.235617634821836</v>
      </c>
      <c r="K4" s="17">
        <v>0.97914227476891347</v>
      </c>
      <c r="L4" s="17">
        <v>8.7502838660033913</v>
      </c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</row>
    <row r="5" spans="2:34" x14ac:dyDescent="0.3">
      <c r="B5" s="17">
        <v>600</v>
      </c>
      <c r="C5" s="17">
        <v>0.99841792896138692</v>
      </c>
      <c r="D5" s="17">
        <v>6.2107603556281796E-2</v>
      </c>
      <c r="E5" s="17">
        <v>48.905256206618859</v>
      </c>
      <c r="F5" s="17">
        <v>23.650319962765966</v>
      </c>
      <c r="G5" s="17">
        <v>47.52015705474146</v>
      </c>
      <c r="H5" s="17">
        <v>54.048316611557979</v>
      </c>
      <c r="I5" s="17">
        <v>53.087671766748116</v>
      </c>
      <c r="J5" s="17">
        <v>71.038424425410881</v>
      </c>
      <c r="K5" s="17">
        <v>1.0140645281447851</v>
      </c>
      <c r="L5" s="17">
        <v>9.0623729649563405</v>
      </c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</row>
    <row r="6" spans="2:34" x14ac:dyDescent="0.3">
      <c r="B6" s="17">
        <v>650</v>
      </c>
      <c r="C6" s="17">
        <v>1.095976970270373</v>
      </c>
      <c r="D6" s="17">
        <v>6.4468832600220724E-2</v>
      </c>
      <c r="E6" s="17">
        <v>50.80680659983301</v>
      </c>
      <c r="F6" s="17">
        <v>23.908927906115419</v>
      </c>
      <c r="G6" s="17">
        <v>49.440886587190505</v>
      </c>
      <c r="H6" s="17">
        <v>53.878220178726544</v>
      </c>
      <c r="I6" s="17">
        <v>52.917855462200883</v>
      </c>
      <c r="J6" s="17">
        <v>70.840471045585389</v>
      </c>
      <c r="K6" s="17">
        <v>1.0492439615518117</v>
      </c>
      <c r="L6" s="17">
        <v>9.3767604002545415</v>
      </c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</row>
    <row r="7" spans="2:34" x14ac:dyDescent="0.3">
      <c r="B7" s="17">
        <v>700</v>
      </c>
      <c r="C7" s="17">
        <v>1.1926154214167359</v>
      </c>
      <c r="D7" s="17">
        <v>6.6858338839570361E-2</v>
      </c>
      <c r="E7" s="17">
        <v>52.490240359052798</v>
      </c>
      <c r="F7" s="17">
        <v>23.905414304807127</v>
      </c>
      <c r="G7" s="17">
        <v>51.140240176954421</v>
      </c>
      <c r="H7" s="17">
        <v>53.709201785475713</v>
      </c>
      <c r="I7" s="17">
        <v>52.749127913968607</v>
      </c>
      <c r="J7" s="17">
        <v>70.642003533187847</v>
      </c>
      <c r="K7" s="17">
        <v>1.08465748785521</v>
      </c>
      <c r="L7" s="17">
        <v>9.6932398494990846</v>
      </c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</row>
    <row r="8" spans="2:34" x14ac:dyDescent="0.3">
      <c r="B8" s="17">
        <v>750</v>
      </c>
      <c r="C8" s="17">
        <v>1.2884976984183187</v>
      </c>
      <c r="D8" s="17">
        <v>6.9274475184734868E-2</v>
      </c>
      <c r="E8" s="17">
        <v>53.991830167895671</v>
      </c>
      <c r="F8" s="17">
        <v>23.646581930865896</v>
      </c>
      <c r="G8" s="17">
        <v>52.655094193700535</v>
      </c>
      <c r="H8" s="17">
        <v>53.541305493071732</v>
      </c>
      <c r="I8" s="17">
        <v>52.581534383252716</v>
      </c>
      <c r="J8" s="17">
        <v>70.44328600163891</v>
      </c>
      <c r="K8" s="17">
        <v>1.1202774409417275</v>
      </c>
      <c r="L8" s="17">
        <v>10.011564069413204</v>
      </c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</row>
    <row r="9" spans="2:34" x14ac:dyDescent="0.3">
      <c r="B9" s="17">
        <v>800.00000000000011</v>
      </c>
      <c r="C9" s="17">
        <v>1.3837514731671954</v>
      </c>
      <c r="D9" s="17">
        <v>7.1715431970801227E-2</v>
      </c>
      <c r="E9" s="17">
        <v>55.339933569630354</v>
      </c>
      <c r="F9" s="17">
        <v>23.133959295545651</v>
      </c>
      <c r="G9" s="17">
        <v>54.014275766007323</v>
      </c>
      <c r="H9" s="17">
        <v>53.374586045417935</v>
      </c>
      <c r="I9" s="17">
        <v>52.415130655682205</v>
      </c>
      <c r="J9" s="17">
        <v>70.244585496392403</v>
      </c>
      <c r="K9" s="17">
        <v>1.1560742978764087</v>
      </c>
      <c r="L9" s="17">
        <v>10.331469222893681</v>
      </c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</row>
    <row r="10" spans="2:34" x14ac:dyDescent="0.3"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</row>
    <row r="11" spans="2:34" x14ac:dyDescent="0.3"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</row>
    <row r="12" spans="2:34" x14ac:dyDescent="0.3"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</row>
    <row r="13" spans="2:34" x14ac:dyDescent="0.3"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</row>
    <row r="15" spans="2:34" x14ac:dyDescent="0.3">
      <c r="B15" s="18" t="s">
        <v>0</v>
      </c>
      <c r="C15" s="18" t="s">
        <v>8</v>
      </c>
      <c r="D15" s="18" t="s">
        <v>9</v>
      </c>
      <c r="E15" s="18" t="s">
        <v>10</v>
      </c>
      <c r="F15" s="18" t="s">
        <v>11</v>
      </c>
      <c r="G15" s="18" t="s">
        <v>92</v>
      </c>
      <c r="H15" s="18" t="s">
        <v>12</v>
      </c>
      <c r="I15" s="18" t="s">
        <v>13</v>
      </c>
      <c r="J15" s="18" t="s">
        <v>93</v>
      </c>
      <c r="K15" s="18" t="s">
        <v>14</v>
      </c>
      <c r="L15" s="18" t="s">
        <v>94</v>
      </c>
      <c r="M15" s="18" t="s">
        <v>15</v>
      </c>
      <c r="N15" s="18" t="s">
        <v>16</v>
      </c>
      <c r="O15" s="18" t="s">
        <v>17</v>
      </c>
      <c r="P15" s="18" t="s">
        <v>18</v>
      </c>
      <c r="Q15" s="18" t="s">
        <v>95</v>
      </c>
      <c r="R15" s="18" t="s">
        <v>19</v>
      </c>
      <c r="S15" s="18" t="s">
        <v>96</v>
      </c>
      <c r="T15" s="18" t="s">
        <v>20</v>
      </c>
      <c r="U15" s="18" t="s">
        <v>122</v>
      </c>
      <c r="V15" s="18" t="s">
        <v>21</v>
      </c>
    </row>
    <row r="16" spans="2:34" x14ac:dyDescent="0.3">
      <c r="B16" s="17">
        <v>500</v>
      </c>
      <c r="C16" s="17">
        <v>29.485120651710428</v>
      </c>
      <c r="D16" s="17">
        <v>13.564888381060969</v>
      </c>
      <c r="E16" s="17">
        <v>14.906637101063389</v>
      </c>
      <c r="F16" s="17">
        <v>27.324224769671563</v>
      </c>
      <c r="G16" s="17">
        <v>8.6106797085443318</v>
      </c>
      <c r="H16" s="17">
        <v>3.3947199989052024</v>
      </c>
      <c r="I16" s="17">
        <v>30.271704873401731</v>
      </c>
      <c r="J16" s="17">
        <v>118.03699553521798</v>
      </c>
      <c r="K16" s="17">
        <v>1387.4581203814137</v>
      </c>
      <c r="L16" s="17">
        <v>894.0177603515491</v>
      </c>
      <c r="M16" s="17">
        <v>3.2636063061677061</v>
      </c>
      <c r="N16" s="17">
        <v>1.6493762302839108</v>
      </c>
      <c r="O16" s="17">
        <v>66.202538828775772</v>
      </c>
      <c r="P16" s="17">
        <v>30.731160961602338</v>
      </c>
      <c r="Q16" s="17">
        <v>0</v>
      </c>
      <c r="R16" s="17">
        <v>6.3532146035785448</v>
      </c>
      <c r="S16" s="17">
        <v>33.747118549449517</v>
      </c>
      <c r="T16" s="17">
        <v>3468.6453009535339</v>
      </c>
      <c r="U16" s="17">
        <v>26.639387578646851</v>
      </c>
      <c r="V16" s="17">
        <v>2695.657254811043</v>
      </c>
    </row>
    <row r="17" spans="2:26" x14ac:dyDescent="0.3">
      <c r="B17" s="17">
        <v>550</v>
      </c>
      <c r="C17" s="17">
        <v>29.781783917630268</v>
      </c>
      <c r="D17" s="17">
        <v>13.187459854217858</v>
      </c>
      <c r="E17" s="17">
        <v>15.005112575197126</v>
      </c>
      <c r="F17" s="17">
        <v>27.447206193680177</v>
      </c>
      <c r="G17" s="17">
        <v>8.8978395707103122</v>
      </c>
      <c r="H17" s="17">
        <v>8.045436130908783</v>
      </c>
      <c r="I17" s="17">
        <v>36.484341624139283</v>
      </c>
      <c r="J17" s="17">
        <v>159.28762450721621</v>
      </c>
      <c r="K17" s="17">
        <v>1508.5865165479815</v>
      </c>
      <c r="L17" s="17">
        <v>917.31651422341099</v>
      </c>
      <c r="M17" s="17">
        <v>3.229940708208169</v>
      </c>
      <c r="N17" s="17">
        <v>1.6227368839905512</v>
      </c>
      <c r="O17" s="17">
        <v>70.030539355826804</v>
      </c>
      <c r="P17" s="17">
        <v>32.431629299966701</v>
      </c>
      <c r="Q17" s="17">
        <v>0</v>
      </c>
      <c r="R17" s="17">
        <v>6.6540307771452101</v>
      </c>
      <c r="S17" s="17">
        <v>33.7028919835547</v>
      </c>
      <c r="T17" s="17">
        <v>3771.4662913699544</v>
      </c>
      <c r="U17" s="17">
        <v>27.809219672175992</v>
      </c>
      <c r="V17" s="17">
        <v>2899.5208238259606</v>
      </c>
    </row>
    <row r="18" spans="2:26" x14ac:dyDescent="0.3">
      <c r="B18" s="17">
        <v>600</v>
      </c>
      <c r="C18" s="17">
        <v>30.072126059584438</v>
      </c>
      <c r="D18" s="17">
        <v>12.815757813462639</v>
      </c>
      <c r="E18" s="17">
        <v>15.074997029094375</v>
      </c>
      <c r="F18" s="17">
        <v>27.53273934130091</v>
      </c>
      <c r="G18" s="17">
        <v>9.1850023844852036</v>
      </c>
      <c r="H18" s="17">
        <v>13.191794613489183</v>
      </c>
      <c r="I18" s="17">
        <v>42.957817343885893</v>
      </c>
      <c r="J18" s="17">
        <v>212.54457106783326</v>
      </c>
      <c r="K18" s="17">
        <v>1639.3855942730463</v>
      </c>
      <c r="L18" s="17">
        <v>943.66296676565219</v>
      </c>
      <c r="M18" s="17">
        <v>3.1964045904803005</v>
      </c>
      <c r="N18" s="17">
        <v>1.5963807829348928</v>
      </c>
      <c r="O18" s="17">
        <v>73.974395706709728</v>
      </c>
      <c r="P18" s="17">
        <v>34.216175837851559</v>
      </c>
      <c r="Q18" s="17">
        <v>0</v>
      </c>
      <c r="R18" s="17">
        <v>6.9630843835348282</v>
      </c>
      <c r="S18" s="17">
        <v>33.642267122887539</v>
      </c>
      <c r="T18" s="17">
        <v>4098.4639856826152</v>
      </c>
      <c r="U18" s="17">
        <v>29.00045429948581</v>
      </c>
      <c r="V18" s="17">
        <v>3129.0125294157187</v>
      </c>
    </row>
    <row r="19" spans="2:26" x14ac:dyDescent="0.3">
      <c r="B19" s="17">
        <v>650</v>
      </c>
      <c r="C19" s="17">
        <v>30.356348204785782</v>
      </c>
      <c r="D19" s="17">
        <v>12.44961559979507</v>
      </c>
      <c r="E19" s="17">
        <v>15.124260333639103</v>
      </c>
      <c r="F19" s="17">
        <v>27.591578472916037</v>
      </c>
      <c r="G19" s="17">
        <v>9.4719934814589077</v>
      </c>
      <c r="H19" s="17">
        <v>18.57419322769216</v>
      </c>
      <c r="I19" s="17">
        <v>49.691064890158593</v>
      </c>
      <c r="J19" s="17">
        <v>281.0885470546134</v>
      </c>
      <c r="K19" s="17">
        <v>1782.8354646964092</v>
      </c>
      <c r="L19" s="17">
        <v>974.191411747036</v>
      </c>
      <c r="M19" s="17">
        <v>3.1630198633730169</v>
      </c>
      <c r="N19" s="17">
        <v>1.5703191740388991</v>
      </c>
      <c r="O19" s="17">
        <v>78.033235234910777</v>
      </c>
      <c r="P19" s="17">
        <v>36.089167156528923</v>
      </c>
      <c r="Q19" s="17">
        <v>0</v>
      </c>
      <c r="R19" s="17">
        <v>7.2805324924249097</v>
      </c>
      <c r="S19" s="17">
        <v>33.566067839114389</v>
      </c>
      <c r="T19" s="17">
        <v>4457.0886617410233</v>
      </c>
      <c r="U19" s="17">
        <v>30.212857749627148</v>
      </c>
      <c r="V19" s="17">
        <v>3391.2896772185222</v>
      </c>
    </row>
    <row r="20" spans="2:26" x14ac:dyDescent="0.3">
      <c r="B20" s="17">
        <v>700</v>
      </c>
      <c r="C20" s="17">
        <v>30.634572596853715</v>
      </c>
      <c r="D20" s="17">
        <v>12.088966631737916</v>
      </c>
      <c r="E20" s="17">
        <v>15.158362934418255</v>
      </c>
      <c r="F20" s="17">
        <v>27.631189878644655</v>
      </c>
      <c r="G20" s="17">
        <v>9.7585717022123273</v>
      </c>
      <c r="H20" s="17">
        <v>24.020430877263426</v>
      </c>
      <c r="I20" s="17">
        <v>56.681040389213244</v>
      </c>
      <c r="J20" s="17">
        <v>369.23294106569756</v>
      </c>
      <c r="K20" s="17">
        <v>1942.7283156258552</v>
      </c>
      <c r="L20" s="17">
        <v>1010.2197197239223</v>
      </c>
      <c r="M20" s="17">
        <v>3.1298159081650674</v>
      </c>
      <c r="N20" s="17">
        <v>1.5445691713135157</v>
      </c>
      <c r="O20" s="17">
        <v>82.204971307235269</v>
      </c>
      <c r="P20" s="17">
        <v>38.054574357161769</v>
      </c>
      <c r="Q20" s="17">
        <v>0</v>
      </c>
      <c r="R20" s="17">
        <v>7.6064535049367379</v>
      </c>
      <c r="S20" s="17">
        <v>33.475120850675864</v>
      </c>
      <c r="T20" s="17">
        <v>4856.8207890646372</v>
      </c>
      <c r="U20" s="17">
        <v>31.445876616620488</v>
      </c>
      <c r="V20" s="17">
        <v>3695.6154931419278</v>
      </c>
    </row>
    <row r="21" spans="2:26" x14ac:dyDescent="0.3">
      <c r="B21" s="17">
        <v>750</v>
      </c>
      <c r="C21" s="17">
        <v>30.906883731184411</v>
      </c>
      <c r="D21" s="17">
        <v>11.733793427656783</v>
      </c>
      <c r="E21" s="17">
        <v>15.181449948766968</v>
      </c>
      <c r="F21" s="17">
        <v>27.656590211398434</v>
      </c>
      <c r="G21" s="17">
        <v>10.044465293963134</v>
      </c>
      <c r="H21" s="17">
        <v>29.414976429465458</v>
      </c>
      <c r="I21" s="17">
        <v>63.923314061612821</v>
      </c>
      <c r="J21" s="17">
        <v>482.7644158839729</v>
      </c>
      <c r="K21" s="17">
        <v>2124.0584594927946</v>
      </c>
      <c r="L21" s="17">
        <v>1053.3975711688122</v>
      </c>
      <c r="M21" s="17">
        <v>3.096825295401116</v>
      </c>
      <c r="N21" s="17">
        <v>1.5191502375896373</v>
      </c>
      <c r="O21" s="17">
        <v>86.486698692361983</v>
      </c>
      <c r="P21" s="17">
        <v>40.11610028928925</v>
      </c>
      <c r="Q21" s="17">
        <v>0</v>
      </c>
      <c r="R21" s="17">
        <v>7.940877684283616</v>
      </c>
      <c r="S21" s="17">
        <v>33.370260142907128</v>
      </c>
      <c r="T21" s="17">
        <v>5310.1461487319866</v>
      </c>
      <c r="U21" s="17">
        <v>32.698767335133454</v>
      </c>
      <c r="V21" s="17">
        <v>4054.3105993265945</v>
      </c>
    </row>
    <row r="22" spans="2:26" x14ac:dyDescent="0.3">
      <c r="B22" s="17">
        <v>800.00000000000011</v>
      </c>
      <c r="C22" s="17">
        <v>31.17335186523071</v>
      </c>
      <c r="D22" s="17">
        <v>11.384097947699106</v>
      </c>
      <c r="E22" s="17">
        <v>15.196049134857022</v>
      </c>
      <c r="F22" s="17">
        <v>27.671506806551477</v>
      </c>
      <c r="G22" s="17">
        <v>10.329389197445023</v>
      </c>
      <c r="H22" s="17">
        <v>34.679829083029183</v>
      </c>
      <c r="I22" s="17">
        <v>71.412496173838846</v>
      </c>
      <c r="J22" s="17">
        <v>629.63432798074223</v>
      </c>
      <c r="K22" s="17">
        <v>2333.6176965557079</v>
      </c>
      <c r="L22" s="17">
        <v>1105.9100285509264</v>
      </c>
      <c r="M22" s="17">
        <v>3.0640811169153399</v>
      </c>
      <c r="N22" s="17">
        <v>1.4940820414417189</v>
      </c>
      <c r="O22" s="17">
        <v>90.874967050593952</v>
      </c>
      <c r="P22" s="17">
        <v>42.277260541399329</v>
      </c>
      <c r="Q22" s="17">
        <v>0</v>
      </c>
      <c r="R22" s="17">
        <v>8.2838071011636547</v>
      </c>
      <c r="S22" s="17">
        <v>33.252324097050263</v>
      </c>
      <c r="T22" s="17">
        <v>5834.0442413892697</v>
      </c>
      <c r="U22" s="17">
        <v>33.970684470386352</v>
      </c>
      <c r="V22" s="17">
        <v>4484.2259797149791</v>
      </c>
      <c r="W22" s="21"/>
      <c r="X22" s="21"/>
      <c r="Y22" s="21"/>
      <c r="Z22" s="21"/>
    </row>
    <row r="23" spans="2:26" x14ac:dyDescent="0.3">
      <c r="W23" s="21"/>
      <c r="X23" s="21"/>
      <c r="Y23" s="21"/>
      <c r="Z23" s="21"/>
    </row>
    <row r="24" spans="2:26" x14ac:dyDescent="0.3"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1"/>
      <c r="X24" s="21"/>
      <c r="Y24" s="21"/>
      <c r="Z24" s="21"/>
    </row>
    <row r="25" spans="2:26" x14ac:dyDescent="0.3">
      <c r="W25" s="21"/>
      <c r="X25" s="21"/>
      <c r="Y25" s="21"/>
      <c r="Z25" s="21"/>
    </row>
    <row r="27" spans="2:26" x14ac:dyDescent="0.3">
      <c r="F27" s="21"/>
      <c r="G27" s="21"/>
      <c r="H27" s="21"/>
    </row>
    <row r="28" spans="2:26" x14ac:dyDescent="0.3">
      <c r="B28" s="18" t="s">
        <v>0</v>
      </c>
      <c r="C28" s="18" t="s">
        <v>119</v>
      </c>
      <c r="D28" s="18" t="s">
        <v>120</v>
      </c>
      <c r="E28" s="18" t="s">
        <v>121</v>
      </c>
      <c r="F28" s="18" t="s">
        <v>124</v>
      </c>
      <c r="G28" s="18" t="s">
        <v>126</v>
      </c>
      <c r="H28" s="18" t="s">
        <v>125</v>
      </c>
    </row>
    <row r="29" spans="2:26" x14ac:dyDescent="0.3">
      <c r="B29" s="17">
        <v>500</v>
      </c>
      <c r="C29" s="17">
        <v>0.77714987291148052</v>
      </c>
      <c r="D29" s="17">
        <v>3.4879579281269653</v>
      </c>
      <c r="E29" s="21">
        <v>0.28670070585885776</v>
      </c>
      <c r="F29" s="21">
        <v>1.1542250716925242E-2</v>
      </c>
      <c r="G29">
        <v>0.67842275179467249</v>
      </c>
      <c r="H29">
        <v>22.285012708851948</v>
      </c>
      <c r="I29" s="25"/>
      <c r="J29" s="25"/>
    </row>
    <row r="30" spans="2:26" x14ac:dyDescent="0.3">
      <c r="B30" s="17">
        <v>550</v>
      </c>
      <c r="C30" s="17">
        <v>0.76880465045141189</v>
      </c>
      <c r="D30" s="17">
        <v>3.3259048960540598</v>
      </c>
      <c r="E30" s="21">
        <v>0.30067005258822227</v>
      </c>
      <c r="F30" s="21">
        <v>1.147679867865287E-2</v>
      </c>
      <c r="G30">
        <v>0.6748353255769638</v>
      </c>
      <c r="H30">
        <v>23.11953495485881</v>
      </c>
      <c r="I30" s="25"/>
      <c r="J30" s="25"/>
    </row>
    <row r="31" spans="2:26" x14ac:dyDescent="0.3">
      <c r="B31" s="17">
        <v>600</v>
      </c>
      <c r="C31" s="17">
        <v>0.76345980844200811</v>
      </c>
      <c r="D31" s="17">
        <v>3.2281161931169047</v>
      </c>
      <c r="E31" s="21">
        <v>0.30977819265992745</v>
      </c>
      <c r="F31" s="21">
        <v>1.1426248092306848E-2</v>
      </c>
      <c r="G31">
        <v>0.6720646479393384</v>
      </c>
      <c r="H31">
        <v>23.654019155799176</v>
      </c>
      <c r="I31" s="25"/>
      <c r="J31" s="25"/>
    </row>
    <row r="32" spans="2:26" x14ac:dyDescent="0.3">
      <c r="B32" s="17">
        <v>650</v>
      </c>
      <c r="C32" s="17">
        <v>0.76087552539146053</v>
      </c>
      <c r="D32" s="17">
        <v>3.1823908139220412</v>
      </c>
      <c r="E32" s="21">
        <v>0.31422916243513799</v>
      </c>
      <c r="F32" s="21">
        <v>1.1389377536649816E-2</v>
      </c>
      <c r="G32">
        <v>0.67004377278377647</v>
      </c>
      <c r="H32">
        <v>23.912447460853958</v>
      </c>
      <c r="I32" s="25"/>
      <c r="J32" s="25"/>
    </row>
    <row r="33" spans="2:10" x14ac:dyDescent="0.3">
      <c r="B33" s="17">
        <v>700</v>
      </c>
      <c r="C33" s="17">
        <v>0.76091246797962597</v>
      </c>
      <c r="D33" s="17">
        <v>3.1830130960190659</v>
      </c>
      <c r="E33" s="21">
        <v>0.31416773033409162</v>
      </c>
      <c r="F33" s="21">
        <v>1.1358039352888392E-2</v>
      </c>
      <c r="G33">
        <v>0.66832612693181281</v>
      </c>
      <c r="H33">
        <v>23.908753202037392</v>
      </c>
      <c r="I33" s="25"/>
      <c r="J33" s="25"/>
    </row>
    <row r="34" spans="2:10" x14ac:dyDescent="0.3">
      <c r="B34" s="17">
        <v>750</v>
      </c>
      <c r="C34" s="17">
        <v>0.76350263924369122</v>
      </c>
      <c r="D34" s="17">
        <v>3.2288076199591909</v>
      </c>
      <c r="E34" s="21">
        <v>0.30971185580038957</v>
      </c>
      <c r="F34" s="21">
        <v>1.1333787980593049E-2</v>
      </c>
      <c r="G34">
        <v>0.66699690921630506</v>
      </c>
      <c r="H34">
        <v>23.649736075630877</v>
      </c>
      <c r="I34" s="25"/>
      <c r="J34" s="25"/>
    </row>
    <row r="35" spans="2:10" x14ac:dyDescent="0.3">
      <c r="B35" s="17">
        <v>800.00000000000011</v>
      </c>
      <c r="C35" s="17">
        <v>0.76863078066873625</v>
      </c>
      <c r="D35" s="17">
        <v>3.3225215400838581</v>
      </c>
      <c r="E35" s="21">
        <v>0.30097622782447353</v>
      </c>
      <c r="F35" s="21">
        <v>1.131159921198268E-2</v>
      </c>
      <c r="G35">
        <v>0.66578074280877075</v>
      </c>
      <c r="H35">
        <v>23.136921933126388</v>
      </c>
      <c r="I35" s="25"/>
      <c r="J35" s="25"/>
    </row>
    <row r="36" spans="2:10" x14ac:dyDescent="0.3">
      <c r="F36" s="21"/>
      <c r="G36"/>
      <c r="H36"/>
    </row>
    <row r="37" spans="2:10" x14ac:dyDescent="0.3">
      <c r="B37" s="20"/>
      <c r="C37" s="20"/>
      <c r="D37" s="20"/>
      <c r="E37" s="20"/>
      <c r="F37" s="20"/>
      <c r="G37" s="20"/>
      <c r="H37" s="20"/>
    </row>
    <row r="38" spans="2:10" x14ac:dyDescent="0.3">
      <c r="H38" s="21"/>
    </row>
    <row r="39" spans="2:10" x14ac:dyDescent="0.3">
      <c r="F39" s="21"/>
      <c r="G39" s="21"/>
      <c r="H3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91C93-8228-4E85-B9E3-FB80BE715EB6}">
  <dimension ref="B2:Y42"/>
  <sheetViews>
    <sheetView topLeftCell="K32" zoomScale="115" zoomScaleNormal="115" workbookViewId="0">
      <selection activeCell="U39" sqref="U39"/>
    </sheetView>
  </sheetViews>
  <sheetFormatPr baseColWidth="10" defaultRowHeight="14.4" x14ac:dyDescent="0.3"/>
  <cols>
    <col min="4" max="4" width="11.5546875" style="2"/>
    <col min="11" max="11" width="18.88671875" bestFit="1" customWidth="1"/>
    <col min="12" max="12" width="20" bestFit="1" customWidth="1"/>
    <col min="13" max="13" width="13.21875" bestFit="1" customWidth="1"/>
    <col min="14" max="14" width="14.44140625" bestFit="1" customWidth="1"/>
    <col min="17" max="17" width="24.109375" customWidth="1"/>
    <col min="18" max="18" width="14.109375" bestFit="1" customWidth="1"/>
    <col min="19" max="19" width="14.6640625" customWidth="1"/>
    <col min="20" max="20" width="13.21875" customWidth="1"/>
  </cols>
  <sheetData>
    <row r="2" spans="2:18" x14ac:dyDescent="0.3">
      <c r="B2" s="1" t="s">
        <v>22</v>
      </c>
      <c r="C2" s="1" t="s">
        <v>23</v>
      </c>
      <c r="D2" s="1" t="s">
        <v>24</v>
      </c>
      <c r="E2" s="1" t="s">
        <v>25</v>
      </c>
      <c r="F2" s="1" t="s">
        <v>26</v>
      </c>
      <c r="G2" s="1" t="s">
        <v>27</v>
      </c>
      <c r="H2" s="1" t="s">
        <v>57</v>
      </c>
      <c r="I2" s="1" t="s">
        <v>0</v>
      </c>
      <c r="K2" s="28" t="s">
        <v>56</v>
      </c>
      <c r="L2" s="28"/>
      <c r="N2" s="28" t="s">
        <v>65</v>
      </c>
      <c r="O2" s="28"/>
      <c r="Q2" s="28" t="s">
        <v>116</v>
      </c>
      <c r="R2" s="28"/>
    </row>
    <row r="3" spans="2:18" x14ac:dyDescent="0.3">
      <c r="B3" s="3">
        <v>1</v>
      </c>
      <c r="C3" s="4">
        <v>1073.1500000000001</v>
      </c>
      <c r="D3" s="5">
        <v>25</v>
      </c>
      <c r="E3" s="4">
        <v>1350.0381316636626</v>
      </c>
      <c r="F3" s="7">
        <v>3.0305681085599816</v>
      </c>
      <c r="G3" s="4">
        <v>10</v>
      </c>
      <c r="H3" s="4">
        <v>756.61237274082237</v>
      </c>
      <c r="I3" s="4">
        <f>C3-273.15</f>
        <v>800.00000000000011</v>
      </c>
      <c r="K3" s="8" t="s">
        <v>40</v>
      </c>
      <c r="L3" s="8" t="s">
        <v>41</v>
      </c>
      <c r="N3" s="8" t="s">
        <v>40</v>
      </c>
      <c r="O3" s="8" t="s">
        <v>41</v>
      </c>
      <c r="Q3" s="22" t="s">
        <v>40</v>
      </c>
      <c r="R3" s="22" t="s">
        <v>41</v>
      </c>
    </row>
    <row r="4" spans="2:18" x14ac:dyDescent="0.3">
      <c r="B4" s="3">
        <v>2</v>
      </c>
      <c r="C4" s="4">
        <v>1018.1289616795918</v>
      </c>
      <c r="D4" s="5">
        <v>17.482517482517483</v>
      </c>
      <c r="E4" s="4">
        <v>1281.2341664776559</v>
      </c>
      <c r="F4" s="7">
        <v>3.035664888414034</v>
      </c>
      <c r="G4" s="4">
        <v>10</v>
      </c>
      <c r="H4" s="4">
        <v>686.28880264133011</v>
      </c>
      <c r="I4" s="4">
        <f t="shared" ref="I4:I42" si="0">C4-273.15</f>
        <v>744.97896167959186</v>
      </c>
      <c r="K4" s="9" t="s">
        <v>42</v>
      </c>
      <c r="L4" s="7">
        <v>1.7979758880009502</v>
      </c>
      <c r="N4" s="9" t="s">
        <v>66</v>
      </c>
      <c r="O4" s="10">
        <v>688.03965186006621</v>
      </c>
      <c r="Q4" s="13" t="s">
        <v>98</v>
      </c>
      <c r="R4" s="6">
        <v>916.98727526679568</v>
      </c>
    </row>
    <row r="5" spans="2:18" x14ac:dyDescent="0.3">
      <c r="B5" s="3">
        <v>3</v>
      </c>
      <c r="C5" s="4">
        <v>1073.1500000000001</v>
      </c>
      <c r="D5" s="5">
        <v>17.482517482517483</v>
      </c>
      <c r="E5" s="4">
        <v>1351.4823193165744</v>
      </c>
      <c r="F5" s="7">
        <v>3.1028601038812176</v>
      </c>
      <c r="G5" s="4">
        <v>10</v>
      </c>
      <c r="H5" s="4">
        <v>736.50270198870771</v>
      </c>
      <c r="I5" s="4">
        <f t="shared" si="0"/>
        <v>800.00000000000011</v>
      </c>
      <c r="K5" s="9" t="s">
        <v>43</v>
      </c>
      <c r="L5" s="7">
        <v>0.70248152838918376</v>
      </c>
      <c r="N5" s="9" t="s">
        <v>67</v>
      </c>
      <c r="O5" s="10">
        <v>1199.1350689643341</v>
      </c>
      <c r="Q5" s="13" t="s">
        <v>99</v>
      </c>
      <c r="R5" s="6">
        <v>830.65281683265493</v>
      </c>
    </row>
    <row r="6" spans="2:18" x14ac:dyDescent="0.3">
      <c r="B6" s="3">
        <v>4</v>
      </c>
      <c r="C6" s="4">
        <v>976.11427576830124</v>
      </c>
      <c r="D6" s="5">
        <v>9.1240875912408761</v>
      </c>
      <c r="E6" s="4">
        <v>1231.5688124201411</v>
      </c>
      <c r="F6" s="7">
        <v>3.1121411727413726</v>
      </c>
      <c r="G6" s="4">
        <v>10</v>
      </c>
      <c r="H6" s="4">
        <v>613.82204441161923</v>
      </c>
      <c r="I6" s="4">
        <f t="shared" si="0"/>
        <v>702.96427576830126</v>
      </c>
      <c r="K6" s="13" t="s">
        <v>47</v>
      </c>
      <c r="L6" s="7">
        <v>2.5004574163901339</v>
      </c>
      <c r="N6" s="9" t="s">
        <v>68</v>
      </c>
      <c r="O6" s="10">
        <v>71.774211786387255</v>
      </c>
      <c r="Q6" s="13" t="s">
        <v>100</v>
      </c>
      <c r="R6" s="6">
        <v>6850.0253590880538</v>
      </c>
    </row>
    <row r="7" spans="2:18" x14ac:dyDescent="0.3">
      <c r="B7" s="3">
        <v>5</v>
      </c>
      <c r="C7" s="4">
        <v>580.59332858273865</v>
      </c>
      <c r="D7" s="5">
        <v>9.1240875912408761</v>
      </c>
      <c r="E7" s="4">
        <v>758.75704305028523</v>
      </c>
      <c r="F7" s="7">
        <v>2.4934653765384365</v>
      </c>
      <c r="G7" s="4">
        <v>10</v>
      </c>
      <c r="H7" s="4">
        <v>325.46846367966873</v>
      </c>
      <c r="I7" s="4">
        <f t="shared" si="0"/>
        <v>307.44332858273867</v>
      </c>
      <c r="K7" s="9" t="s">
        <v>44</v>
      </c>
      <c r="L7" s="7">
        <v>4.8493514799902702</v>
      </c>
      <c r="N7" s="9" t="s">
        <v>69</v>
      </c>
      <c r="O7" s="10">
        <v>-386.40079286911646</v>
      </c>
      <c r="Q7" s="13" t="s">
        <v>105</v>
      </c>
      <c r="R7" s="6">
        <v>2723.6906468307247</v>
      </c>
    </row>
    <row r="8" spans="2:18" x14ac:dyDescent="0.3">
      <c r="B8" s="3">
        <v>6</v>
      </c>
      <c r="C8" s="4">
        <v>435.43287838933054</v>
      </c>
      <c r="D8" s="5">
        <v>9.1240875912408761</v>
      </c>
      <c r="E8" s="4">
        <v>591.19593244306282</v>
      </c>
      <c r="F8" s="7">
        <v>2.1610419768753544</v>
      </c>
      <c r="G8" s="4">
        <v>10</v>
      </c>
      <c r="H8" s="4">
        <v>257.0193896819942</v>
      </c>
      <c r="I8" s="4">
        <f t="shared" si="0"/>
        <v>162.28287838933056</v>
      </c>
      <c r="K8" s="9" t="s">
        <v>45</v>
      </c>
      <c r="L8" s="7">
        <v>1.6756111060722243</v>
      </c>
      <c r="N8" s="9" t="s">
        <v>70</v>
      </c>
      <c r="O8" s="10">
        <v>-188.73788675888972</v>
      </c>
      <c r="Q8" s="13" t="s">
        <v>104</v>
      </c>
      <c r="R8" s="6">
        <v>150.85917384920415</v>
      </c>
    </row>
    <row r="9" spans="2:18" x14ac:dyDescent="0.3">
      <c r="B9" s="3" t="s">
        <v>29</v>
      </c>
      <c r="C9" s="4">
        <v>435.43287838933054</v>
      </c>
      <c r="D9" s="5">
        <v>9.1240875912408761</v>
      </c>
      <c r="E9" s="4">
        <v>591.19593244306282</v>
      </c>
      <c r="F9" s="7">
        <v>2.1610419768753544</v>
      </c>
      <c r="G9" s="4">
        <v>7.9944855772860111</v>
      </c>
      <c r="H9" s="4">
        <v>257.0193896819942</v>
      </c>
      <c r="I9" s="4">
        <f t="shared" si="0"/>
        <v>162.28287838933056</v>
      </c>
      <c r="K9" s="9" t="s">
        <v>48</v>
      </c>
      <c r="L9" s="7">
        <v>0.11033034486553291</v>
      </c>
      <c r="N9" s="9" t="s">
        <v>71</v>
      </c>
      <c r="O9" s="10">
        <v>-5.8779815586019524E-2</v>
      </c>
      <c r="Q9" s="13" t="s">
        <v>101</v>
      </c>
      <c r="R9" s="6">
        <v>4757.3674529323171</v>
      </c>
    </row>
    <row r="10" spans="2:18" x14ac:dyDescent="0.3">
      <c r="B10" s="3" t="s">
        <v>30</v>
      </c>
      <c r="C10" s="4">
        <v>423.3557736165609</v>
      </c>
      <c r="D10" s="5">
        <v>9.1240875912408761</v>
      </c>
      <c r="E10" s="4">
        <v>0.57659650223683723</v>
      </c>
      <c r="F10" s="7">
        <v>2.1270382629381421E-3</v>
      </c>
      <c r="G10" s="4">
        <v>7.9944855772860111</v>
      </c>
      <c r="H10" s="4">
        <v>0.25257199616171355</v>
      </c>
      <c r="I10" s="4">
        <f t="shared" si="0"/>
        <v>150.20577361656092</v>
      </c>
      <c r="K10" s="9" t="s">
        <v>49</v>
      </c>
      <c r="L10" s="7">
        <v>0.68666556854253946</v>
      </c>
      <c r="N10" s="9" t="s">
        <v>72</v>
      </c>
      <c r="O10" s="10">
        <v>1312.0360411963943</v>
      </c>
      <c r="Q10" s="13" t="s">
        <v>102</v>
      </c>
      <c r="R10" s="6">
        <v>58326.910191272655</v>
      </c>
    </row>
    <row r="11" spans="2:18" x14ac:dyDescent="0.3">
      <c r="B11" s="2" t="s">
        <v>31</v>
      </c>
      <c r="C11" s="4">
        <v>357.24648058947918</v>
      </c>
      <c r="D11" s="5">
        <v>9.1240875912408761</v>
      </c>
      <c r="E11" s="4">
        <v>0.48705207701453501</v>
      </c>
      <c r="F11" s="7">
        <v>1.8961819516546078E-3</v>
      </c>
      <c r="G11" s="4">
        <v>7.9944855772860111</v>
      </c>
      <c r="H11" s="4">
        <v>0.23185738014859708</v>
      </c>
      <c r="I11" s="4">
        <f t="shared" si="0"/>
        <v>84.096480589479199</v>
      </c>
      <c r="K11" s="9" t="s">
        <v>50</v>
      </c>
      <c r="L11" s="7">
        <v>0.12544275752191905</v>
      </c>
      <c r="N11" s="9" t="s">
        <v>73</v>
      </c>
      <c r="O11" s="10">
        <v>71.715431970801234</v>
      </c>
      <c r="Q11" s="13" t="s">
        <v>103</v>
      </c>
      <c r="R11" s="6">
        <v>101653.79754728591</v>
      </c>
    </row>
    <row r="12" spans="2:18" x14ac:dyDescent="0.3">
      <c r="B12" s="3" t="s">
        <v>32</v>
      </c>
      <c r="C12" s="4">
        <v>346.62433578909861</v>
      </c>
      <c r="D12" s="5">
        <v>9.1240875912408761</v>
      </c>
      <c r="E12" s="4">
        <v>0.46883148724964824</v>
      </c>
      <c r="F12" s="7">
        <v>1.844389053247172E-3</v>
      </c>
      <c r="G12" s="4">
        <v>7.9944855772860111</v>
      </c>
      <c r="H12" s="4">
        <v>0.22907884304388729</v>
      </c>
      <c r="I12" s="4">
        <f t="shared" si="0"/>
        <v>73.474335789098632</v>
      </c>
      <c r="K12" s="9" t="s">
        <v>51</v>
      </c>
      <c r="L12" s="7">
        <v>0.92243867092999143</v>
      </c>
      <c r="N12" s="11" t="s">
        <v>74</v>
      </c>
      <c r="O12" s="12">
        <v>1383.7514731671954</v>
      </c>
      <c r="Q12" s="13" t="s">
        <v>106</v>
      </c>
      <c r="R12" s="6">
        <v>6084.4865460826932</v>
      </c>
    </row>
    <row r="13" spans="2:18" x14ac:dyDescent="0.3">
      <c r="B13" s="3" t="s">
        <v>33</v>
      </c>
      <c r="C13" s="4">
        <v>344.39458549639238</v>
      </c>
      <c r="D13" s="5">
        <v>9.1240875912408761</v>
      </c>
      <c r="E13" s="4">
        <v>464.67130036926602</v>
      </c>
      <c r="F13" s="7">
        <v>1.8323480555267959</v>
      </c>
      <c r="G13" s="4">
        <v>7.9944855772860111</v>
      </c>
      <c r="H13" s="4">
        <v>228.50867963383527</v>
      </c>
      <c r="I13" s="4">
        <f t="shared" si="0"/>
        <v>71.244585496392403</v>
      </c>
      <c r="K13" s="9" t="s">
        <v>52</v>
      </c>
      <c r="L13" s="7">
        <v>0.72305037797389082</v>
      </c>
      <c r="Q13" s="13" t="s">
        <v>107</v>
      </c>
      <c r="R13" s="6">
        <v>-14690.262623456645</v>
      </c>
    </row>
    <row r="14" spans="2:18" x14ac:dyDescent="0.3">
      <c r="B14" s="3" t="s">
        <v>34</v>
      </c>
      <c r="C14" s="4">
        <v>435.43287838933054</v>
      </c>
      <c r="D14" s="5">
        <v>9.1240875912408761</v>
      </c>
      <c r="E14" s="4">
        <v>591.19593244306282</v>
      </c>
      <c r="F14" s="7">
        <v>2.1610419768753544</v>
      </c>
      <c r="G14" s="4">
        <v>2.0055144227139889</v>
      </c>
      <c r="H14" s="4">
        <v>257.0193896819942</v>
      </c>
      <c r="I14" s="4">
        <f t="shared" si="0"/>
        <v>162.28287838933056</v>
      </c>
      <c r="K14" s="9" t="s">
        <v>54</v>
      </c>
      <c r="L14" s="7">
        <v>0.12767286098529926</v>
      </c>
      <c r="N14" s="29" t="s">
        <v>75</v>
      </c>
      <c r="O14" s="29"/>
      <c r="Q14" s="13" t="s">
        <v>108</v>
      </c>
      <c r="R14" s="6">
        <v>-7175.4747263768222</v>
      </c>
    </row>
    <row r="15" spans="2:18" x14ac:dyDescent="0.3">
      <c r="B15" s="3">
        <v>7</v>
      </c>
      <c r="C15" s="4">
        <v>328.15</v>
      </c>
      <c r="D15" s="5">
        <v>9.1240875912408761</v>
      </c>
      <c r="E15" s="4">
        <v>427.37611738856413</v>
      </c>
      <c r="F15" s="7">
        <v>1.72122584179495</v>
      </c>
      <c r="G15" s="4">
        <v>7.9944855772860111</v>
      </c>
      <c r="H15" s="4">
        <v>224.33075530171814</v>
      </c>
      <c r="I15" s="4">
        <f t="shared" si="0"/>
        <v>55</v>
      </c>
      <c r="K15" s="9" t="s">
        <v>53</v>
      </c>
      <c r="L15" s="7">
        <v>0.85072323895919011</v>
      </c>
      <c r="N15" s="9" t="s">
        <v>80</v>
      </c>
      <c r="O15" s="10">
        <v>7.7745474285568061</v>
      </c>
      <c r="Q15" s="13" t="s">
        <v>109</v>
      </c>
      <c r="R15" s="6">
        <v>-2.2347027849124075</v>
      </c>
    </row>
    <row r="16" spans="2:18" x14ac:dyDescent="0.3">
      <c r="B16" s="3">
        <v>8</v>
      </c>
      <c r="C16" s="4">
        <v>407.92598052767181</v>
      </c>
      <c r="D16" s="5">
        <v>25</v>
      </c>
      <c r="E16" s="4">
        <v>475.70953285771714</v>
      </c>
      <c r="F16" s="7">
        <v>1.7343043486568708</v>
      </c>
      <c r="G16" s="4">
        <v>7.9944855772860111</v>
      </c>
      <c r="H16" s="4">
        <v>268.76481394998945</v>
      </c>
      <c r="I16" s="4">
        <f t="shared" si="0"/>
        <v>134.77598052767183</v>
      </c>
      <c r="K16" s="9" t="s">
        <v>46</v>
      </c>
      <c r="L16" s="7">
        <v>3.3258554014030113E-2</v>
      </c>
      <c r="N16" s="9" t="s">
        <v>81</v>
      </c>
      <c r="O16" s="10">
        <v>52.471841055808</v>
      </c>
      <c r="Q16" s="13" t="s">
        <v>110</v>
      </c>
      <c r="R16" s="6">
        <v>14936.432649657721</v>
      </c>
    </row>
    <row r="17" spans="2:25" x14ac:dyDescent="0.3">
      <c r="B17" s="3">
        <v>9</v>
      </c>
      <c r="C17" s="4">
        <v>547.68745921507718</v>
      </c>
      <c r="D17" s="5">
        <v>25</v>
      </c>
      <c r="E17" s="4">
        <v>685.30539614040072</v>
      </c>
      <c r="F17" s="7">
        <v>2.1800807088725671</v>
      </c>
      <c r="G17" s="4">
        <v>7.9944855772860111</v>
      </c>
      <c r="H17" s="4">
        <v>345.45245543436323</v>
      </c>
      <c r="I17" s="4">
        <f t="shared" si="0"/>
        <v>274.53745921507721</v>
      </c>
      <c r="K17" s="11" t="s">
        <v>55</v>
      </c>
      <c r="L17" s="16">
        <v>-0.29815580239591893</v>
      </c>
      <c r="N17" s="9" t="s">
        <v>82</v>
      </c>
      <c r="O17" s="10">
        <v>53.374586045417935</v>
      </c>
      <c r="Q17" s="13" t="s">
        <v>111</v>
      </c>
      <c r="R17" s="6">
        <v>12158.725147647143</v>
      </c>
    </row>
    <row r="18" spans="2:25" x14ac:dyDescent="0.3">
      <c r="B18" s="3">
        <v>10</v>
      </c>
      <c r="C18" s="4">
        <v>547.68745921507718</v>
      </c>
      <c r="D18" s="5">
        <v>25</v>
      </c>
      <c r="E18" s="4">
        <v>685.30539614040072</v>
      </c>
      <c r="F18" s="7">
        <v>2.1800807088725671</v>
      </c>
      <c r="G18" s="4">
        <v>2.0055144227139889</v>
      </c>
      <c r="H18" s="4">
        <v>345.45245543436323</v>
      </c>
      <c r="I18" s="4">
        <f t="shared" si="0"/>
        <v>274.53745921507721</v>
      </c>
      <c r="N18" s="9" t="s">
        <v>83</v>
      </c>
      <c r="O18" s="10">
        <v>54.014275766007323</v>
      </c>
      <c r="Q18" s="13" t="s">
        <v>112</v>
      </c>
      <c r="R18" s="6">
        <v>2143439.7108252258</v>
      </c>
    </row>
    <row r="19" spans="2:25" x14ac:dyDescent="0.3">
      <c r="B19" s="3">
        <v>11</v>
      </c>
      <c r="C19" s="4">
        <v>547.68745921507718</v>
      </c>
      <c r="D19" s="5">
        <v>25</v>
      </c>
      <c r="E19" s="4">
        <v>685.30539614040072</v>
      </c>
      <c r="F19" s="7">
        <v>2.1800807088725671</v>
      </c>
      <c r="G19" s="4">
        <v>10</v>
      </c>
      <c r="H19" s="4">
        <v>345.45245543436323</v>
      </c>
      <c r="I19" s="4">
        <f t="shared" si="0"/>
        <v>274.53745921507721</v>
      </c>
      <c r="K19" s="29" t="s">
        <v>58</v>
      </c>
      <c r="L19" s="29"/>
      <c r="N19" s="9" t="s">
        <v>84</v>
      </c>
      <c r="O19" s="10">
        <v>55.339933569630354</v>
      </c>
      <c r="Q19" s="13" t="s">
        <v>123</v>
      </c>
      <c r="R19" s="6">
        <v>2503125.0768078174</v>
      </c>
    </row>
    <row r="20" spans="2:25" x14ac:dyDescent="0.3">
      <c r="B20" s="3">
        <v>12</v>
      </c>
      <c r="C20" s="4">
        <v>932.83907702081467</v>
      </c>
      <c r="D20" s="5">
        <v>25</v>
      </c>
      <c r="E20" s="4">
        <v>1170.2405428635675</v>
      </c>
      <c r="F20" s="7">
        <v>2.8510501836319815</v>
      </c>
      <c r="G20" s="4">
        <v>10</v>
      </c>
      <c r="H20" s="4">
        <v>630.33805325801075</v>
      </c>
      <c r="I20" s="4">
        <f t="shared" si="0"/>
        <v>659.68907702081469</v>
      </c>
      <c r="K20" s="13" t="s">
        <v>59</v>
      </c>
      <c r="L20" s="4">
        <v>159.02185344711796</v>
      </c>
      <c r="N20" s="9" t="s">
        <v>85</v>
      </c>
      <c r="O20" s="10">
        <v>3.4933609588634824</v>
      </c>
      <c r="Q20" s="28" t="s">
        <v>117</v>
      </c>
      <c r="R20" s="28"/>
      <c r="S20" s="28" t="s">
        <v>117</v>
      </c>
      <c r="T20" s="28"/>
    </row>
    <row r="21" spans="2:25" x14ac:dyDescent="0.3">
      <c r="B21" s="3">
        <v>17</v>
      </c>
      <c r="C21" s="4">
        <v>313.14999999999998</v>
      </c>
      <c r="D21" s="5">
        <v>7.8923107438086744</v>
      </c>
      <c r="E21" s="4">
        <v>-132.35463919610541</v>
      </c>
      <c r="F21" s="7">
        <v>-0.37994748587359245</v>
      </c>
      <c r="G21" s="4">
        <v>1.7897056695309543</v>
      </c>
      <c r="H21" s="4">
        <v>0.52460446529691762</v>
      </c>
      <c r="I21" s="4">
        <f t="shared" si="0"/>
        <v>40</v>
      </c>
      <c r="K21" s="13" t="s">
        <v>60</v>
      </c>
      <c r="L21" s="4">
        <v>63.229887799023224</v>
      </c>
      <c r="N21" s="9" t="s">
        <v>86</v>
      </c>
      <c r="O21" s="10">
        <v>22.489305649899514</v>
      </c>
      <c r="Q21" s="22" t="s">
        <v>118</v>
      </c>
      <c r="R21" s="22" t="s">
        <v>41</v>
      </c>
      <c r="S21" s="22" t="s">
        <v>118</v>
      </c>
      <c r="T21" s="22" t="s">
        <v>41</v>
      </c>
    </row>
    <row r="22" spans="2:25" x14ac:dyDescent="0.3">
      <c r="B22" s="3">
        <v>18</v>
      </c>
      <c r="C22" s="4">
        <v>313.1583575108412</v>
      </c>
      <c r="D22" s="5">
        <v>31.569242975234697</v>
      </c>
      <c r="E22" s="4">
        <v>-132.32179590986752</v>
      </c>
      <c r="F22" s="7">
        <v>-0.37994748587359245</v>
      </c>
      <c r="G22" s="4">
        <v>1.7897056695309543</v>
      </c>
      <c r="H22" s="4">
        <v>0.55744775153482984</v>
      </c>
      <c r="I22" s="4">
        <f t="shared" si="0"/>
        <v>40.008357510841222</v>
      </c>
      <c r="K22" s="13" t="s">
        <v>61</v>
      </c>
      <c r="L22" s="4">
        <v>21.287660768567079</v>
      </c>
      <c r="N22" s="9" t="s">
        <v>87</v>
      </c>
      <c r="O22" s="6">
        <v>52.415130655682205</v>
      </c>
      <c r="Q22" s="23" t="s">
        <v>113</v>
      </c>
      <c r="R22" s="24">
        <v>2505530.7763891984</v>
      </c>
      <c r="S22" s="23" t="s">
        <v>129</v>
      </c>
      <c r="T22" s="27">
        <v>0</v>
      </c>
    </row>
    <row r="23" spans="2:25" x14ac:dyDescent="0.3">
      <c r="B23" s="3" t="s">
        <v>35</v>
      </c>
      <c r="C23" s="4">
        <v>347.24648058947918</v>
      </c>
      <c r="D23" s="5">
        <v>31.569242975234697</v>
      </c>
      <c r="E23" s="4">
        <v>-70.674595063457787</v>
      </c>
      <c r="F23" s="7">
        <v>-0.19317568283781225</v>
      </c>
      <c r="G23" s="4">
        <v>1.7897056695309543</v>
      </c>
      <c r="H23" s="4">
        <v>6.518635522826691</v>
      </c>
      <c r="I23" s="4">
        <f t="shared" si="0"/>
        <v>74.096480589479199</v>
      </c>
      <c r="K23" s="13" t="s">
        <v>62</v>
      </c>
      <c r="L23" s="4">
        <v>19.283425035580251</v>
      </c>
      <c r="N23" s="9" t="s">
        <v>88</v>
      </c>
      <c r="O23" s="6">
        <v>23.133959295545651</v>
      </c>
      <c r="Q23" s="23" t="s">
        <v>114</v>
      </c>
      <c r="R23" s="24">
        <v>4269212.9393934794</v>
      </c>
      <c r="S23" s="23" t="s">
        <v>128</v>
      </c>
      <c r="T23" s="27">
        <v>0</v>
      </c>
    </row>
    <row r="24" spans="2:25" x14ac:dyDescent="0.3">
      <c r="B24" s="3" t="s">
        <v>36</v>
      </c>
      <c r="C24" s="4">
        <v>347.24648058947918</v>
      </c>
      <c r="D24" s="5">
        <v>31.569242975234697</v>
      </c>
      <c r="E24" s="4">
        <v>313.00054226931974</v>
      </c>
      <c r="F24" s="7">
        <v>0.91173151933586583</v>
      </c>
      <c r="G24" s="4">
        <v>1.7897056695309543</v>
      </c>
      <c r="H24" s="4">
        <v>60.765690527522125</v>
      </c>
      <c r="I24" s="4">
        <f t="shared" si="0"/>
        <v>74.096480589479199</v>
      </c>
      <c r="K24" s="13" t="s">
        <v>63</v>
      </c>
      <c r="L24" s="4">
        <v>3.5021630107067545</v>
      </c>
      <c r="N24" s="11" t="s">
        <v>89</v>
      </c>
      <c r="O24" s="15">
        <v>23.136921933126388</v>
      </c>
      <c r="Q24" s="23" t="s">
        <v>115</v>
      </c>
      <c r="R24" s="24">
        <v>202782.7454297191</v>
      </c>
      <c r="S24" s="23" t="s">
        <v>127</v>
      </c>
      <c r="T24" s="27">
        <v>2503125.0768078174</v>
      </c>
      <c r="V24" s="9"/>
      <c r="W24" s="9"/>
      <c r="X24" s="9"/>
      <c r="Y24" s="9"/>
    </row>
    <row r="25" spans="2:25" x14ac:dyDescent="0.3">
      <c r="B25" s="3">
        <v>15</v>
      </c>
      <c r="C25" s="4">
        <v>396.43287838933054</v>
      </c>
      <c r="D25" s="5">
        <v>31.569242975234697</v>
      </c>
      <c r="E25" s="4">
        <v>383.09182021380718</v>
      </c>
      <c r="F25" s="7">
        <v>1.1002468147744369</v>
      </c>
      <c r="G25" s="4">
        <v>1.7897056695309543</v>
      </c>
      <c r="H25" s="4">
        <v>74.651133136999675</v>
      </c>
      <c r="I25" s="4">
        <f t="shared" si="0"/>
        <v>123.28287838933056</v>
      </c>
      <c r="K25" s="13" t="s">
        <v>64</v>
      </c>
      <c r="L25" s="4">
        <v>110.44125389851233</v>
      </c>
      <c r="Q25" s="9"/>
      <c r="R25" s="9"/>
      <c r="S25" s="9"/>
      <c r="T25" s="26"/>
      <c r="V25" s="9"/>
      <c r="W25" s="9"/>
      <c r="X25" s="9"/>
      <c r="Y25" s="9"/>
    </row>
    <row r="26" spans="2:25" x14ac:dyDescent="0.3">
      <c r="B26" s="3">
        <v>16</v>
      </c>
      <c r="C26" s="4">
        <v>368.13790080168786</v>
      </c>
      <c r="D26" s="5">
        <v>7.8923107438086744</v>
      </c>
      <c r="E26" s="4">
        <v>342.98790088879446</v>
      </c>
      <c r="F26" s="7">
        <v>1.119604713516257</v>
      </c>
      <c r="G26" s="4">
        <v>1.7897056695309543</v>
      </c>
      <c r="H26" s="4">
        <v>28.775656302113202</v>
      </c>
      <c r="I26" s="4">
        <f t="shared" si="0"/>
        <v>94.987900801687886</v>
      </c>
      <c r="N26" s="29" t="s">
        <v>76</v>
      </c>
      <c r="O26" s="29"/>
      <c r="Q26" s="9"/>
      <c r="R26" s="9"/>
      <c r="S26" s="9"/>
      <c r="T26" s="9"/>
      <c r="V26" s="9"/>
      <c r="W26" s="9"/>
      <c r="X26" s="9"/>
      <c r="Y26" s="9"/>
    </row>
    <row r="27" spans="2:25" x14ac:dyDescent="0.3">
      <c r="B27" s="3" t="s">
        <v>28</v>
      </c>
      <c r="C27" s="4">
        <v>313.14999999999998</v>
      </c>
      <c r="D27" s="5">
        <v>7.8923107438086744</v>
      </c>
      <c r="E27" s="4">
        <v>271.65055019539255</v>
      </c>
      <c r="F27" s="7">
        <v>0.91018564327057938</v>
      </c>
      <c r="G27" s="4">
        <v>1.7897056695309543</v>
      </c>
      <c r="H27" s="4">
        <v>19.876601402460075</v>
      </c>
      <c r="I27" s="4">
        <f t="shared" si="0"/>
        <v>40</v>
      </c>
      <c r="N27" s="13" t="s">
        <v>77</v>
      </c>
      <c r="O27" s="6">
        <v>0.71269346475761464</v>
      </c>
      <c r="Q27" s="9"/>
      <c r="R27" s="9"/>
      <c r="S27" s="9"/>
      <c r="T27" s="9"/>
      <c r="U27" s="9"/>
      <c r="V27" s="9"/>
      <c r="W27" s="9"/>
      <c r="X27" s="9"/>
      <c r="Y27" s="9"/>
    </row>
    <row r="28" spans="2:25" x14ac:dyDescent="0.3">
      <c r="B28" s="3" t="s">
        <v>37</v>
      </c>
      <c r="C28" s="4">
        <v>298.14999999999998</v>
      </c>
      <c r="D28" s="5">
        <v>101.325</v>
      </c>
      <c r="E28" s="4">
        <v>104.92011957080643</v>
      </c>
      <c r="F28" s="7">
        <v>0.36719964130372146</v>
      </c>
      <c r="G28" s="4">
        <v>34.591753259051274</v>
      </c>
      <c r="H28" s="4">
        <v>2.5073905791015251E-5</v>
      </c>
      <c r="I28" s="4">
        <f t="shared" si="0"/>
        <v>25</v>
      </c>
      <c r="N28" s="13" t="s">
        <v>78</v>
      </c>
      <c r="O28" s="6">
        <v>0.99770990140218263</v>
      </c>
      <c r="Q28" s="9"/>
      <c r="R28" s="9"/>
      <c r="S28" s="9"/>
      <c r="T28" s="9"/>
      <c r="U28" s="9"/>
      <c r="V28" s="9"/>
      <c r="W28" s="9"/>
      <c r="X28" s="9"/>
      <c r="Y28" s="9"/>
    </row>
    <row r="29" spans="2:25" x14ac:dyDescent="0.3">
      <c r="B29" s="3" t="s">
        <v>38</v>
      </c>
      <c r="C29" s="4">
        <v>303.14999999999998</v>
      </c>
      <c r="D29" s="5">
        <v>101.325</v>
      </c>
      <c r="E29" s="4">
        <v>125.82251132178534</v>
      </c>
      <c r="F29" s="7">
        <v>0.43672528196163279</v>
      </c>
      <c r="G29" s="4">
        <v>34.591753259051274</v>
      </c>
      <c r="H29" s="4">
        <v>0.17334706272843686</v>
      </c>
      <c r="I29" s="4">
        <f t="shared" si="0"/>
        <v>30</v>
      </c>
      <c r="N29" s="14" t="s">
        <v>79</v>
      </c>
      <c r="O29" s="15">
        <v>0.6</v>
      </c>
      <c r="Q29" s="9"/>
      <c r="R29" s="9"/>
      <c r="S29" s="9"/>
      <c r="T29" s="9"/>
      <c r="U29" s="9"/>
      <c r="V29" s="9"/>
      <c r="W29" s="9"/>
      <c r="X29" s="9"/>
      <c r="Y29" s="9"/>
    </row>
    <row r="30" spans="2:25" x14ac:dyDescent="0.3">
      <c r="B30" s="3" t="s">
        <v>39</v>
      </c>
      <c r="C30" s="4">
        <v>304.03303316959324</v>
      </c>
      <c r="D30" s="5">
        <v>101.325</v>
      </c>
      <c r="E30" s="4">
        <v>129.51335809758132</v>
      </c>
      <c r="F30" s="7">
        <v>0.44888256955875044</v>
      </c>
      <c r="G30" s="4">
        <v>34.591753259051274</v>
      </c>
      <c r="H30" s="4">
        <v>0.23949854144378332</v>
      </c>
      <c r="I30" s="4">
        <f t="shared" si="0"/>
        <v>30.883033169593261</v>
      </c>
      <c r="Q30" s="9"/>
      <c r="R30" s="9"/>
      <c r="S30" s="9"/>
      <c r="T30" s="9"/>
      <c r="U30" s="9"/>
      <c r="V30" s="9"/>
      <c r="W30" s="9"/>
      <c r="X30" s="9"/>
      <c r="Y30" s="9"/>
    </row>
    <row r="31" spans="2:25" x14ac:dyDescent="0.3">
      <c r="B31" s="3" t="s">
        <v>29</v>
      </c>
      <c r="C31" s="4">
        <v>435.43287838933054</v>
      </c>
      <c r="D31" s="5">
        <v>9124.0875912408756</v>
      </c>
      <c r="E31" s="4">
        <v>591.19593244282169</v>
      </c>
      <c r="F31" s="7">
        <v>2.1610419768753544</v>
      </c>
      <c r="G31" s="4">
        <v>7.9944855772860111</v>
      </c>
      <c r="H31" s="4">
        <v>257.03321905731815</v>
      </c>
      <c r="I31" s="4">
        <f t="shared" si="0"/>
        <v>162.28287838933056</v>
      </c>
      <c r="Q31" s="9"/>
      <c r="R31" s="9"/>
      <c r="S31" s="9"/>
      <c r="T31" s="9"/>
      <c r="U31" s="9"/>
      <c r="V31" s="9"/>
      <c r="W31" s="9"/>
      <c r="X31" s="9"/>
      <c r="Y31" s="9"/>
    </row>
    <row r="32" spans="2:25" x14ac:dyDescent="0.3">
      <c r="B32" s="3" t="s">
        <v>30</v>
      </c>
      <c r="C32" s="4">
        <v>423.3557736165609</v>
      </c>
      <c r="D32" s="5">
        <v>9124.0875912408756</v>
      </c>
      <c r="E32" s="4">
        <v>576.59650223683718</v>
      </c>
      <c r="F32" s="7">
        <v>2.1270382629381421</v>
      </c>
      <c r="G32" s="4">
        <v>7.9944855772860111</v>
      </c>
      <c r="H32" s="4">
        <v>252.57199616171354</v>
      </c>
      <c r="I32" s="4">
        <f t="shared" si="0"/>
        <v>150.20577361656092</v>
      </c>
      <c r="Q32" s="9"/>
      <c r="R32" s="9"/>
      <c r="S32" s="9"/>
      <c r="T32" s="9"/>
      <c r="U32" s="9"/>
      <c r="V32" s="9"/>
      <c r="W32" s="9"/>
      <c r="X32" s="9"/>
      <c r="Y32" s="9"/>
    </row>
    <row r="33" spans="2:25" x14ac:dyDescent="0.3">
      <c r="B33" s="3" t="s">
        <v>31</v>
      </c>
      <c r="C33" s="4">
        <v>357.24648058947918</v>
      </c>
      <c r="D33" s="5">
        <v>9124.0875912408756</v>
      </c>
      <c r="E33" s="4">
        <v>487.05207701453503</v>
      </c>
      <c r="F33" s="7">
        <v>1.8961819516546079</v>
      </c>
      <c r="G33" s="4">
        <v>7.9944855772860111</v>
      </c>
      <c r="H33" s="4">
        <v>231.85738014859709</v>
      </c>
      <c r="I33" s="4">
        <f t="shared" si="0"/>
        <v>84.096480589479199</v>
      </c>
      <c r="Q33" s="9"/>
      <c r="R33" s="9"/>
      <c r="S33" s="9"/>
      <c r="T33" s="9"/>
      <c r="U33" s="9"/>
      <c r="V33" s="9"/>
      <c r="W33" s="9"/>
      <c r="X33" s="9"/>
      <c r="Y33" s="9"/>
    </row>
    <row r="34" spans="2:25" x14ac:dyDescent="0.3">
      <c r="B34" s="2" t="s">
        <v>32</v>
      </c>
      <c r="C34" s="4">
        <v>346.62433578909861</v>
      </c>
      <c r="D34" s="5">
        <v>9124.0875912408756</v>
      </c>
      <c r="E34" s="4">
        <v>468.83148724964826</v>
      </c>
      <c r="F34" s="7">
        <v>1.8443890532471721</v>
      </c>
      <c r="G34" s="4">
        <v>7.9944855772860111</v>
      </c>
      <c r="H34" s="4">
        <v>229.07884304388728</v>
      </c>
      <c r="I34" s="4">
        <f t="shared" si="0"/>
        <v>73.474335789098632</v>
      </c>
    </row>
    <row r="35" spans="2:25" x14ac:dyDescent="0.3">
      <c r="B35" s="2">
        <v>13</v>
      </c>
      <c r="C35" s="4">
        <v>298.14999999999998</v>
      </c>
      <c r="D35" s="5">
        <v>0.101325</v>
      </c>
      <c r="E35" s="4">
        <v>424.43605428165802</v>
      </c>
      <c r="F35" s="7">
        <v>3.8804887263997387</v>
      </c>
      <c r="G35" s="4">
        <v>1.1599999999999999</v>
      </c>
      <c r="H35" s="4">
        <v>2.1111792130950945E-2</v>
      </c>
      <c r="I35" s="4">
        <f t="shared" si="0"/>
        <v>25</v>
      </c>
    </row>
    <row r="36" spans="2:25" x14ac:dyDescent="0.3">
      <c r="B36" s="2">
        <v>14</v>
      </c>
      <c r="C36" s="4">
        <v>278.14999999999998</v>
      </c>
      <c r="D36" s="5">
        <v>0.101325</v>
      </c>
      <c r="E36" s="4">
        <v>453.10722153513228</v>
      </c>
      <c r="F36" s="7">
        <v>3.9723323134988857</v>
      </c>
      <c r="G36" s="4">
        <v>1.1599999999999999</v>
      </c>
      <c r="H36" s="4">
        <v>1.3091135519945019</v>
      </c>
      <c r="I36" s="4">
        <f t="shared" si="0"/>
        <v>5</v>
      </c>
    </row>
    <row r="37" spans="2:25" x14ac:dyDescent="0.3">
      <c r="B37" s="2" t="s">
        <v>32</v>
      </c>
      <c r="C37" s="4">
        <v>346.62433578909861</v>
      </c>
      <c r="D37" s="5">
        <v>9.1240875912408761</v>
      </c>
      <c r="E37" s="4">
        <v>468.83148724964826</v>
      </c>
      <c r="F37" s="7">
        <v>1.8443890532471721</v>
      </c>
      <c r="G37" s="4">
        <v>7.9944855772860111</v>
      </c>
      <c r="H37" s="4">
        <v>229.07884304388728</v>
      </c>
      <c r="I37" s="4">
        <f t="shared" si="0"/>
        <v>73.474335789098632</v>
      </c>
    </row>
    <row r="38" spans="2:25" x14ac:dyDescent="0.3">
      <c r="B38" s="2" t="s">
        <v>33</v>
      </c>
      <c r="C38" s="4">
        <v>344.39458549639238</v>
      </c>
      <c r="D38" s="5">
        <v>9.1240875912408761</v>
      </c>
      <c r="E38" s="4">
        <v>464.67130036926602</v>
      </c>
      <c r="F38" s="7">
        <v>1.8323480555267959</v>
      </c>
      <c r="G38" s="4">
        <v>7.9944855772860111</v>
      </c>
      <c r="H38" s="4">
        <v>228.50867963383527</v>
      </c>
      <c r="I38" s="4">
        <f t="shared" si="0"/>
        <v>71.244585496392403</v>
      </c>
    </row>
    <row r="39" spans="2:25" x14ac:dyDescent="0.3">
      <c r="B39" s="2" t="s">
        <v>33</v>
      </c>
      <c r="C39" s="4">
        <v>344.39458549639238</v>
      </c>
      <c r="D39" s="5">
        <v>9124.0875912408756</v>
      </c>
      <c r="E39" s="4">
        <v>464.67130036356895</v>
      </c>
      <c r="F39" s="7">
        <v>1.8323480555267959</v>
      </c>
      <c r="G39" s="4">
        <v>7.9944855772860111</v>
      </c>
      <c r="H39" s="4">
        <v>228.5086796281382</v>
      </c>
      <c r="I39" s="4">
        <f t="shared" si="0"/>
        <v>71.244585496392403</v>
      </c>
    </row>
    <row r="40" spans="2:25" x14ac:dyDescent="0.3">
      <c r="B40" s="2">
        <v>7</v>
      </c>
      <c r="C40" s="4">
        <v>328.15</v>
      </c>
      <c r="D40" s="5">
        <v>9124.0875912408756</v>
      </c>
      <c r="E40" s="4">
        <v>427.37611738856413</v>
      </c>
      <c r="F40" s="7">
        <v>1.72122584179495</v>
      </c>
      <c r="G40" s="4">
        <v>7.9944855772860111</v>
      </c>
      <c r="H40" s="4">
        <v>224.34458467728319</v>
      </c>
      <c r="I40" s="4">
        <f t="shared" si="0"/>
        <v>55</v>
      </c>
    </row>
    <row r="41" spans="2:25" x14ac:dyDescent="0.3">
      <c r="B41" s="2">
        <v>19</v>
      </c>
      <c r="C41" s="4">
        <v>298.14999999999998</v>
      </c>
      <c r="D41" s="5">
        <v>101.325</v>
      </c>
      <c r="E41" s="4">
        <v>104.92011957080643</v>
      </c>
      <c r="F41" s="7">
        <v>0.36719964130372146</v>
      </c>
      <c r="G41" s="4">
        <v>2.8698525619149113E-3</v>
      </c>
      <c r="H41" s="4">
        <v>2.5073905791015251E-5</v>
      </c>
      <c r="I41" s="4">
        <f t="shared" si="0"/>
        <v>25</v>
      </c>
    </row>
    <row r="42" spans="2:25" x14ac:dyDescent="0.3">
      <c r="B42" s="2">
        <v>20</v>
      </c>
      <c r="C42" s="4">
        <v>343.39458549639238</v>
      </c>
      <c r="D42" s="5">
        <v>101.325</v>
      </c>
      <c r="E42" s="4">
        <v>294.14738747128831</v>
      </c>
      <c r="F42" s="7">
        <v>0.95807613660276081</v>
      </c>
      <c r="G42" s="4">
        <v>2.8698525619149113E-3</v>
      </c>
      <c r="H42" s="4">
        <v>13.057465900979093</v>
      </c>
      <c r="I42" s="4">
        <f t="shared" si="0"/>
        <v>70.244585496392403</v>
      </c>
    </row>
  </sheetData>
  <mergeCells count="8">
    <mergeCell ref="S20:T20"/>
    <mergeCell ref="N26:O26"/>
    <mergeCell ref="K2:L2"/>
    <mergeCell ref="K19:L19"/>
    <mergeCell ref="Q2:R2"/>
    <mergeCell ref="Q20:R20"/>
    <mergeCell ref="N2:O2"/>
    <mergeCell ref="N14:O14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0693F-D387-4367-8A44-8725A6CA7BA7}">
  <dimension ref="A1:AF33"/>
  <sheetViews>
    <sheetView tabSelected="1" workbookViewId="0">
      <selection activeCell="A34" sqref="A34"/>
    </sheetView>
  </sheetViews>
  <sheetFormatPr baseColWidth="10" defaultRowHeight="14.4" x14ac:dyDescent="0.3"/>
  <sheetData>
    <row r="1" spans="1:32" x14ac:dyDescent="0.3">
      <c r="B1" t="s">
        <v>130</v>
      </c>
      <c r="C1" t="s">
        <v>37</v>
      </c>
      <c r="D1" t="s">
        <v>38</v>
      </c>
      <c r="E1" t="s">
        <v>39</v>
      </c>
      <c r="F1" t="s">
        <v>131</v>
      </c>
      <c r="G1" t="s">
        <v>132</v>
      </c>
      <c r="H1" t="s">
        <v>133</v>
      </c>
      <c r="I1" t="s">
        <v>134</v>
      </c>
      <c r="J1" t="s">
        <v>193</v>
      </c>
      <c r="K1" t="s">
        <v>194</v>
      </c>
      <c r="L1" t="s">
        <v>195</v>
      </c>
      <c r="M1" t="s">
        <v>135</v>
      </c>
      <c r="N1" t="s">
        <v>136</v>
      </c>
      <c r="O1" t="s">
        <v>137</v>
      </c>
      <c r="P1" t="s">
        <v>138</v>
      </c>
      <c r="Q1" t="s">
        <v>139</v>
      </c>
      <c r="R1" t="s">
        <v>140</v>
      </c>
      <c r="S1" t="s">
        <v>141</v>
      </c>
      <c r="T1" t="s">
        <v>142</v>
      </c>
      <c r="U1" t="s">
        <v>143</v>
      </c>
      <c r="V1" t="s">
        <v>144</v>
      </c>
      <c r="W1" t="s">
        <v>145</v>
      </c>
      <c r="X1" t="s">
        <v>146</v>
      </c>
      <c r="Y1" t="s">
        <v>147</v>
      </c>
      <c r="Z1" t="s">
        <v>148</v>
      </c>
      <c r="AA1" t="s">
        <v>149</v>
      </c>
      <c r="AB1" t="s">
        <v>150</v>
      </c>
      <c r="AC1" t="s">
        <v>151</v>
      </c>
      <c r="AD1" t="s">
        <v>152</v>
      </c>
      <c r="AE1" t="s">
        <v>153</v>
      </c>
      <c r="AF1" t="s">
        <v>190</v>
      </c>
    </row>
    <row r="2" spans="1:32" x14ac:dyDescent="0.3">
      <c r="A2" t="s">
        <v>154</v>
      </c>
      <c r="B2" t="s">
        <v>155</v>
      </c>
      <c r="C2">
        <v>1</v>
      </c>
      <c r="D2">
        <v>-1</v>
      </c>
      <c r="X2">
        <v>-1</v>
      </c>
    </row>
    <row r="3" spans="1:32" x14ac:dyDescent="0.3">
      <c r="A3" t="s">
        <v>176</v>
      </c>
      <c r="B3">
        <v>0</v>
      </c>
      <c r="C3">
        <v>-1</v>
      </c>
      <c r="D3" t="s">
        <v>177</v>
      </c>
    </row>
    <row r="4" spans="1:32" x14ac:dyDescent="0.3">
      <c r="A4" t="s">
        <v>156</v>
      </c>
      <c r="B4" t="s">
        <v>157</v>
      </c>
      <c r="E4">
        <v>1</v>
      </c>
      <c r="F4">
        <v>-1</v>
      </c>
      <c r="Z4">
        <v>-1</v>
      </c>
    </row>
    <row r="5" spans="1:32" x14ac:dyDescent="0.3">
      <c r="A5" t="s">
        <v>187</v>
      </c>
      <c r="B5">
        <v>0</v>
      </c>
      <c r="E5">
        <v>-1</v>
      </c>
      <c r="F5" t="s">
        <v>178</v>
      </c>
    </row>
    <row r="6" spans="1:32" x14ac:dyDescent="0.3">
      <c r="A6" t="s">
        <v>37</v>
      </c>
      <c r="B6" t="s">
        <v>158</v>
      </c>
      <c r="M6">
        <v>1</v>
      </c>
      <c r="N6">
        <v>-1</v>
      </c>
      <c r="AA6">
        <v>1</v>
      </c>
    </row>
    <row r="7" spans="1:32" x14ac:dyDescent="0.3">
      <c r="A7" t="s">
        <v>38</v>
      </c>
      <c r="B7" t="s">
        <v>159</v>
      </c>
      <c r="J7">
        <v>1</v>
      </c>
      <c r="P7">
        <v>-1</v>
      </c>
      <c r="AB7">
        <v>1</v>
      </c>
    </row>
    <row r="8" spans="1:32" x14ac:dyDescent="0.3">
      <c r="A8" t="s">
        <v>59</v>
      </c>
      <c r="B8" t="s">
        <v>160</v>
      </c>
      <c r="F8">
        <v>1</v>
      </c>
      <c r="G8">
        <v>-1</v>
      </c>
      <c r="Q8">
        <v>1</v>
      </c>
      <c r="R8">
        <v>-1</v>
      </c>
    </row>
    <row r="9" spans="1:32" x14ac:dyDescent="0.3">
      <c r="A9" t="s">
        <v>179</v>
      </c>
      <c r="B9">
        <v>0</v>
      </c>
      <c r="F9">
        <v>-1</v>
      </c>
      <c r="G9" t="s">
        <v>181</v>
      </c>
    </row>
    <row r="10" spans="1:32" x14ac:dyDescent="0.3">
      <c r="A10" t="s">
        <v>60</v>
      </c>
      <c r="B10" t="s">
        <v>161</v>
      </c>
      <c r="G10">
        <v>1</v>
      </c>
      <c r="H10">
        <v>-1</v>
      </c>
      <c r="N10">
        <v>1</v>
      </c>
      <c r="O10">
        <v>-1</v>
      </c>
    </row>
    <row r="11" spans="1:32" x14ac:dyDescent="0.3">
      <c r="A11" t="s">
        <v>180</v>
      </c>
      <c r="B11">
        <v>0</v>
      </c>
      <c r="G11">
        <v>-1</v>
      </c>
      <c r="H11" t="s">
        <v>182</v>
      </c>
    </row>
    <row r="12" spans="1:32" x14ac:dyDescent="0.3">
      <c r="A12" t="s">
        <v>183</v>
      </c>
      <c r="B12">
        <v>0</v>
      </c>
      <c r="O12">
        <v>1</v>
      </c>
      <c r="P12">
        <v>1</v>
      </c>
      <c r="Q12">
        <v>-1</v>
      </c>
    </row>
    <row r="13" spans="1:32" x14ac:dyDescent="0.3">
      <c r="A13" t="s">
        <v>162</v>
      </c>
      <c r="B13" t="s">
        <v>163</v>
      </c>
      <c r="K13">
        <v>-1</v>
      </c>
      <c r="L13">
        <v>1</v>
      </c>
    </row>
    <row r="14" spans="1:32" x14ac:dyDescent="0.3">
      <c r="A14" t="s">
        <v>198</v>
      </c>
      <c r="B14">
        <v>0</v>
      </c>
      <c r="K14" t="s">
        <v>199</v>
      </c>
      <c r="L14">
        <v>-1</v>
      </c>
    </row>
    <row r="15" spans="1:32" x14ac:dyDescent="0.3">
      <c r="A15" t="s">
        <v>64</v>
      </c>
      <c r="B15" t="s">
        <v>164</v>
      </c>
      <c r="K15">
        <v>1</v>
      </c>
      <c r="M15">
        <v>-1</v>
      </c>
      <c r="W15">
        <v>-1</v>
      </c>
    </row>
    <row r="16" spans="1:32" x14ac:dyDescent="0.3">
      <c r="A16" t="s">
        <v>184</v>
      </c>
      <c r="B16">
        <v>0</v>
      </c>
      <c r="K16">
        <v>-1</v>
      </c>
      <c r="M16" t="s">
        <v>185</v>
      </c>
    </row>
    <row r="17" spans="1:32" x14ac:dyDescent="0.3">
      <c r="A17" t="s">
        <v>165</v>
      </c>
      <c r="B17" t="s">
        <v>166</v>
      </c>
      <c r="S17">
        <v>1</v>
      </c>
      <c r="T17">
        <v>-1</v>
      </c>
      <c r="AE17">
        <v>-1</v>
      </c>
    </row>
    <row r="18" spans="1:32" x14ac:dyDescent="0.3">
      <c r="A18" t="s">
        <v>186</v>
      </c>
      <c r="B18">
        <v>0</v>
      </c>
      <c r="S18">
        <v>-1</v>
      </c>
      <c r="T18" t="s">
        <v>188</v>
      </c>
    </row>
    <row r="19" spans="1:32" x14ac:dyDescent="0.3">
      <c r="A19" t="s">
        <v>167</v>
      </c>
      <c r="B19" t="s">
        <v>168</v>
      </c>
      <c r="U19">
        <v>1</v>
      </c>
      <c r="V19">
        <v>-1</v>
      </c>
      <c r="AF19">
        <v>1</v>
      </c>
    </row>
    <row r="20" spans="1:32" x14ac:dyDescent="0.3">
      <c r="A20" t="s">
        <v>189</v>
      </c>
      <c r="B20">
        <v>0</v>
      </c>
      <c r="AE20" t="s">
        <v>191</v>
      </c>
      <c r="AF20">
        <v>-1</v>
      </c>
    </row>
    <row r="21" spans="1:32" x14ac:dyDescent="0.3">
      <c r="A21" t="s">
        <v>169</v>
      </c>
      <c r="B21" t="s">
        <v>170</v>
      </c>
      <c r="T21">
        <v>1</v>
      </c>
      <c r="U21">
        <v>-1</v>
      </c>
    </row>
    <row r="22" spans="1:32" x14ac:dyDescent="0.3">
      <c r="A22" t="s">
        <v>175</v>
      </c>
      <c r="B22">
        <v>0</v>
      </c>
      <c r="T22">
        <v>-1</v>
      </c>
      <c r="U22" t="s">
        <v>200</v>
      </c>
    </row>
    <row r="23" spans="1:32" x14ac:dyDescent="0.3">
      <c r="A23" t="s">
        <v>171</v>
      </c>
      <c r="B23" t="s">
        <v>172</v>
      </c>
      <c r="I23">
        <v>1</v>
      </c>
      <c r="L23">
        <v>-1</v>
      </c>
      <c r="S23">
        <v>-1</v>
      </c>
      <c r="V23">
        <v>1</v>
      </c>
    </row>
    <row r="24" spans="1:32" x14ac:dyDescent="0.3">
      <c r="A24" t="s">
        <v>192</v>
      </c>
      <c r="B24">
        <v>0</v>
      </c>
      <c r="I24">
        <v>-1</v>
      </c>
      <c r="K24" t="s">
        <v>196</v>
      </c>
    </row>
    <row r="25" spans="1:32" x14ac:dyDescent="0.3">
      <c r="A25" t="s">
        <v>173</v>
      </c>
      <c r="B25" t="s">
        <v>174</v>
      </c>
      <c r="W25">
        <v>1</v>
      </c>
      <c r="Y25">
        <v>1</v>
      </c>
      <c r="AC25">
        <v>-1</v>
      </c>
      <c r="AD25">
        <v>-1</v>
      </c>
    </row>
    <row r="32" spans="1:32" x14ac:dyDescent="0.3">
      <c r="A32" t="s">
        <v>197</v>
      </c>
    </row>
    <row r="33" spans="1:1" x14ac:dyDescent="0.3">
      <c r="A33" t="s">
        <v>201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</vt:lpstr>
      <vt:lpstr>Energy_Exergy</vt:lpstr>
      <vt:lpstr>EXERGO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Iglesias</dc:creator>
  <cp:lastModifiedBy>Adrian Iglesias</cp:lastModifiedBy>
  <dcterms:created xsi:type="dcterms:W3CDTF">2026-01-05T23:58:20Z</dcterms:created>
  <dcterms:modified xsi:type="dcterms:W3CDTF">2026-02-27T13:50:15Z</dcterms:modified>
</cp:coreProperties>
</file>