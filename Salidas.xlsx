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h0\Documents\CODIGO\tes2\"/>
    </mc:Choice>
  </mc:AlternateContent>
  <xr:revisionPtr revIDLastSave="0" documentId="13_ncr:1_{04047506-AE37-4C55-8342-6213CA7CD400}" xr6:coauthVersionLast="47" xr6:coauthVersionMax="47" xr10:uidLastSave="{00000000-0000-0000-0000-000000000000}"/>
  <bookViews>
    <workbookView xWindow="-108" yWindow="-108" windowWidth="23256" windowHeight="13176" xr2:uid="{C4CE93A3-0861-4D2C-B953-37868A8DFB1C}"/>
  </bookViews>
  <sheets>
    <sheet name="T" sheetId="3" r:id="rId1"/>
    <sheet name="rc" sheetId="6" r:id="rId2"/>
    <sheet name="nt" sheetId="7" r:id="rId3"/>
    <sheet name="nc" sheetId="8" r:id="rId4"/>
    <sheet name="Energy_Exergy" sheetId="2" r:id="rId5"/>
    <sheet name="Exergoeconomico" sheetId="5" r:id="rId6"/>
    <sheet name="EXERGO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3" i="2" l="1"/>
  <c r="I44" i="2"/>
  <c r="V18" i="2"/>
  <c r="V23" i="2"/>
  <c r="V2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3" i="2"/>
</calcChain>
</file>

<file path=xl/sharedStrings.xml><?xml version="1.0" encoding="utf-8"?>
<sst xmlns="http://schemas.openxmlformats.org/spreadsheetml/2006/main" count="413" uniqueCount="262">
  <si>
    <t>T [°C]</t>
  </si>
  <si>
    <t>n_ex [%]</t>
  </si>
  <si>
    <t>n_th [%]</t>
  </si>
  <si>
    <t>n_en_PEM [%]</t>
  </si>
  <si>
    <t>n_ex_PEM [%]</t>
  </si>
  <si>
    <t>T_in_PEM [°C]</t>
  </si>
  <si>
    <t>m_H2 [kg/h]</t>
  </si>
  <si>
    <t>m_H2O_in [kg/h]</t>
  </si>
  <si>
    <t>XD Compresor 1 [kW]</t>
  </si>
  <si>
    <t>XD Compresor 2 [kW]</t>
  </si>
  <si>
    <t>XD Turbina 1 [kW]</t>
  </si>
  <si>
    <t>XD Turbina 2 [kW]</t>
  </si>
  <si>
    <t>XD HTR [kW]</t>
  </si>
  <si>
    <t>XD LTR [kW]</t>
  </si>
  <si>
    <t>XD Loss field [kW]</t>
  </si>
  <si>
    <t>XD Cooler [kW]</t>
  </si>
  <si>
    <t>XD Pérdida aire [kW]</t>
  </si>
  <si>
    <t>XD Evaporador 1 [kW]</t>
  </si>
  <si>
    <t>XD Condensador [kW]</t>
  </si>
  <si>
    <t>XD Pérdida agua [kW]</t>
  </si>
  <si>
    <t>Exergía solar aportada [kW]</t>
  </si>
  <si>
    <t>Exergía destruida total [kW]</t>
  </si>
  <si>
    <t>State</t>
  </si>
  <si>
    <t>T [K]</t>
  </si>
  <si>
    <t>P [kPa]</t>
  </si>
  <si>
    <t>h [kJ/kg]</t>
  </si>
  <si>
    <t>s [kJ/kg-K]</t>
  </si>
  <si>
    <t>m [kg/s]</t>
  </si>
  <si>
    <t>16vs</t>
  </si>
  <si>
    <t>6AI</t>
  </si>
  <si>
    <t>6AO1</t>
  </si>
  <si>
    <t>6AO2</t>
  </si>
  <si>
    <t>6AO3</t>
  </si>
  <si>
    <t>6AO</t>
  </si>
  <si>
    <t>6BI</t>
  </si>
  <si>
    <t>15ls</t>
  </si>
  <si>
    <t>15vs</t>
  </si>
  <si>
    <t>C1</t>
  </si>
  <si>
    <t>C2</t>
  </si>
  <si>
    <t>C3</t>
  </si>
  <si>
    <t>Componentes</t>
  </si>
  <si>
    <t>Valor</t>
  </si>
  <si>
    <t>Q_Heater</t>
  </si>
  <si>
    <t>Q_Re-heater</t>
  </si>
  <si>
    <t>Q_HTR</t>
  </si>
  <si>
    <t>Q_LTR</t>
  </si>
  <si>
    <t>Q_Cooler</t>
  </si>
  <si>
    <t>Q_total</t>
  </si>
  <si>
    <t>Q_Evap_etapa1</t>
  </si>
  <si>
    <t>Q_Evap_etapa2</t>
  </si>
  <si>
    <t>Q_Evap_etapa3</t>
  </si>
  <si>
    <t>Q_Evap_total</t>
  </si>
  <si>
    <t>Q_Cond_etapa1</t>
  </si>
  <si>
    <t>Q_Cond_total</t>
  </si>
  <si>
    <t>Q_Cond_etapa2</t>
  </si>
  <si>
    <t>Q_HE</t>
  </si>
  <si>
    <t>Calor y Exergias [ MW]</t>
  </si>
  <si>
    <t>x [kJ/kgK]</t>
  </si>
  <si>
    <t>Areas [m2]</t>
  </si>
  <si>
    <t>HTR</t>
  </si>
  <si>
    <t>LTR</t>
  </si>
  <si>
    <t>Evaporador</t>
  </si>
  <si>
    <t>Condensador</t>
  </si>
  <si>
    <t>Cooler</t>
  </si>
  <si>
    <t>HE</t>
  </si>
  <si>
    <t>Potencias [ kW]</t>
  </si>
  <si>
    <t>Turbina 1</t>
  </si>
  <si>
    <t>Turbina 2</t>
  </si>
  <si>
    <t>Turbina 3</t>
  </si>
  <si>
    <t>Compresor 1</t>
  </si>
  <si>
    <t>Compresor 2</t>
  </si>
  <si>
    <t>Bomba 1</t>
  </si>
  <si>
    <t>W_SBCR</t>
  </si>
  <si>
    <t>W_ORC</t>
  </si>
  <si>
    <t>W_ORC + SBCR</t>
  </si>
  <si>
    <t>Eficiencias [%]</t>
  </si>
  <si>
    <t>Parametros Field solar</t>
  </si>
  <si>
    <t>nt</t>
  </si>
  <si>
    <t>Fi</t>
  </si>
  <si>
    <t>nfield</t>
  </si>
  <si>
    <t>nth_ORC</t>
  </si>
  <si>
    <t>nth_SBCR</t>
  </si>
  <si>
    <t>nth_PEM</t>
  </si>
  <si>
    <t>nth_ciclo</t>
  </si>
  <si>
    <t>n_ciclo sin PEM</t>
  </si>
  <si>
    <t>nex_ORC</t>
  </si>
  <si>
    <t>nex_SBCR</t>
  </si>
  <si>
    <t>nex_PEM</t>
  </si>
  <si>
    <t>nex_ciclo</t>
  </si>
  <si>
    <t>nex_ciclo_2</t>
  </si>
  <si>
    <t>W Neto [MW]</t>
  </si>
  <si>
    <t>n_ciclo sin PEM[%]</t>
  </si>
  <si>
    <t>XD Turbina 3 [kW]</t>
  </si>
  <si>
    <t>XD Loss Solar receiver [kW]</t>
  </si>
  <si>
    <t>XD CSP [kW]</t>
  </si>
  <si>
    <t>XD Bomba 2 [kW]</t>
  </si>
  <si>
    <t>XD HE [kW]</t>
  </si>
  <si>
    <t>W_Rankine [MW]</t>
  </si>
  <si>
    <t>Y.Evap</t>
  </si>
  <si>
    <t>Y.Cond</t>
  </si>
  <si>
    <t>Y.HTR</t>
  </si>
  <si>
    <t>Y.HE</t>
  </si>
  <si>
    <t>Y.T1</t>
  </si>
  <si>
    <t>Y.T2</t>
  </si>
  <si>
    <t>Y.Cooler</t>
  </si>
  <si>
    <t>Y.LTR</t>
  </si>
  <si>
    <t>Y.T3</t>
  </si>
  <si>
    <t>Y.C1</t>
  </si>
  <si>
    <t>Y.C2</t>
  </si>
  <si>
    <t>Y.B2</t>
  </si>
  <si>
    <t xml:space="preserve">Y.wf </t>
  </si>
  <si>
    <t>Y.co2</t>
  </si>
  <si>
    <t>Y.CSP</t>
  </si>
  <si>
    <t>Yom total</t>
  </si>
  <si>
    <t>Yco total</t>
  </si>
  <si>
    <t>Yde total</t>
  </si>
  <si>
    <t>Impacto por componente [kgCO2-eq]</t>
  </si>
  <si>
    <t>Impacto por fases [kgCO2-eq]</t>
  </si>
  <si>
    <t>EWR</t>
  </si>
  <si>
    <t>EEF</t>
  </si>
  <si>
    <t>ESI</t>
  </si>
  <si>
    <t>XD PEM [kW]</t>
  </si>
  <si>
    <t>Y.PEM</t>
  </si>
  <si>
    <t>Y total [kgCO2-eq/kWh]</t>
  </si>
  <si>
    <t>n_ex2 [%]</t>
  </si>
  <si>
    <t>Y PEM [kgCO2-eq/kgH2]</t>
  </si>
  <si>
    <t>Yom PEM</t>
  </si>
  <si>
    <t>Yco PEM</t>
  </si>
  <si>
    <t>Yde PEM</t>
  </si>
  <si>
    <t>Z</t>
  </si>
  <si>
    <t>C4</t>
  </si>
  <si>
    <t xml:space="preserve">C5 </t>
  </si>
  <si>
    <t>C6</t>
  </si>
  <si>
    <t>C6AI</t>
  </si>
  <si>
    <t>C7</t>
  </si>
  <si>
    <t>C8</t>
  </si>
  <si>
    <t>C9</t>
  </si>
  <si>
    <t>C10</t>
  </si>
  <si>
    <t>C11</t>
  </si>
  <si>
    <t>C12</t>
  </si>
  <si>
    <t>C15</t>
  </si>
  <si>
    <t>C16</t>
  </si>
  <si>
    <t>C17</t>
  </si>
  <si>
    <t>C18</t>
  </si>
  <si>
    <t>C20</t>
  </si>
  <si>
    <t>CWT1</t>
  </si>
  <si>
    <t>CNETO</t>
  </si>
  <si>
    <t>CWT2</t>
  </si>
  <si>
    <t>CWC1</t>
  </si>
  <si>
    <t>CWC2</t>
  </si>
  <si>
    <t>CH2</t>
  </si>
  <si>
    <t>CO2</t>
  </si>
  <si>
    <t>CWT3</t>
  </si>
  <si>
    <t>T1</t>
  </si>
  <si>
    <t>"-ZT1"</t>
  </si>
  <si>
    <t>T2</t>
  </si>
  <si>
    <t>"-ZT2"</t>
  </si>
  <si>
    <t>"-ZC1"</t>
  </si>
  <si>
    <t>"-ZC2"</t>
  </si>
  <si>
    <t>"-ZHTR"</t>
  </si>
  <si>
    <t>"-ZLTR"</t>
  </si>
  <si>
    <t>COOLER</t>
  </si>
  <si>
    <t>"-ZCOOLER"</t>
  </si>
  <si>
    <t>"-ZHE"</t>
  </si>
  <si>
    <t>T3</t>
  </si>
  <si>
    <t>"-ZT3"</t>
  </si>
  <si>
    <t>B2</t>
  </si>
  <si>
    <t>"-ZB2"</t>
  </si>
  <si>
    <t>COND</t>
  </si>
  <si>
    <t>"-ZCOND"</t>
  </si>
  <si>
    <t>EVAP</t>
  </si>
  <si>
    <t>"-ZEVAP"</t>
  </si>
  <si>
    <t>PEM</t>
  </si>
  <si>
    <t>"-ZPEM"</t>
  </si>
  <si>
    <t>AUX</t>
  </si>
  <si>
    <t>AUX T1</t>
  </si>
  <si>
    <t>E1/E2</t>
  </si>
  <si>
    <t>E3/E4</t>
  </si>
  <si>
    <t>AUX HTR</t>
  </si>
  <si>
    <t>AUX LTR</t>
  </si>
  <si>
    <t>E4/E5</t>
  </si>
  <si>
    <t>E5/E6</t>
  </si>
  <si>
    <t>AUX LTR 2</t>
  </si>
  <si>
    <t>AUX HE</t>
  </si>
  <si>
    <t>E6AO/E7</t>
  </si>
  <si>
    <t>AUX T3</t>
  </si>
  <si>
    <t>AUX T2</t>
  </si>
  <si>
    <t>E15/E16</t>
  </si>
  <si>
    <t>AUX B2</t>
  </si>
  <si>
    <t>WB2</t>
  </si>
  <si>
    <t>WB2/WT3</t>
  </si>
  <si>
    <t>AUX EVAP</t>
  </si>
  <si>
    <t>C6BI</t>
  </si>
  <si>
    <t>C6AO</t>
  </si>
  <si>
    <t>C6AO3</t>
  </si>
  <si>
    <t>E6AI/E6AO3</t>
  </si>
  <si>
    <t>30 incognitas</t>
  </si>
  <si>
    <t>AUX COOLER</t>
  </si>
  <si>
    <t>E6AO3/E6AO</t>
  </si>
  <si>
    <t>E16/E17</t>
  </si>
  <si>
    <t>24 ecuaciones</t>
  </si>
  <si>
    <t>Cdot (USD/h)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</si>
  <si>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</si>
  <si>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</si>
  <si>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</si>
  <si>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</si>
  <si>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</si>
  <si>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</si>
  <si>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</si>
  <si>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</si>
  <si>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</si>
  <si>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</si>
  <si>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</si>
  <si>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</si>
  <si>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c6BI</t>
  </si>
  <si>
    <t>c6AI</t>
  </si>
  <si>
    <t>c6AO3</t>
  </si>
  <si>
    <t>c6AO</t>
  </si>
  <si>
    <t>c20</t>
  </si>
  <si>
    <t>c15</t>
  </si>
  <si>
    <t>c16</t>
  </si>
  <si>
    <t>c17</t>
  </si>
  <si>
    <t>c18</t>
  </si>
  <si>
    <t>cH2</t>
  </si>
  <si>
    <t>cO2</t>
  </si>
  <si>
    <t>cel</t>
  </si>
  <si>
    <t>Componente</t>
  </si>
  <si>
    <t>c19</t>
  </si>
  <si>
    <t>Turbina ORC</t>
  </si>
  <si>
    <t>Bomba ORC</t>
  </si>
  <si>
    <t>HE-PEM</t>
  </si>
  <si>
    <t>Zdot (USD/h)</t>
  </si>
  <si>
    <t>ED (kW)</t>
  </si>
  <si>
    <t>CD (USD/h)</t>
  </si>
  <si>
    <t>f (%)</t>
  </si>
  <si>
    <t>Fluido</t>
  </si>
  <si>
    <t>Costo Unit. (USD/kWh_ex)</t>
  </si>
  <si>
    <t>LCOEn sistema [USD/kWh]</t>
  </si>
  <si>
    <t>c_H2 [USD/kWh_ex]</t>
  </si>
  <si>
    <t>c_el_bus interno [USD/kWh_ex]</t>
  </si>
  <si>
    <t>rc</t>
  </si>
  <si>
    <t>nc</t>
  </si>
  <si>
    <t>Y TOTAL</t>
  </si>
  <si>
    <t>LCOEn</t>
  </si>
  <si>
    <t>LCOH</t>
  </si>
  <si>
    <t>c el [USD/kWh]</t>
  </si>
  <si>
    <t>18r</t>
  </si>
  <si>
    <t>16r</t>
  </si>
  <si>
    <t>Q_regen</t>
  </si>
  <si>
    <t>Regenerador</t>
  </si>
  <si>
    <t>Y.regen</t>
  </si>
  <si>
    <t>c16r</t>
  </si>
  <si>
    <t>c18r</t>
  </si>
  <si>
    <t>Evaporador RORC</t>
  </si>
  <si>
    <t>Regenerador RORC</t>
  </si>
  <si>
    <t>Condensador RORC</t>
  </si>
  <si>
    <t>XD reg [kW]</t>
  </si>
  <si>
    <t>n_th_ORC [%]</t>
  </si>
  <si>
    <t>n_th_BRAYTON [%]</t>
  </si>
  <si>
    <t>LCOEn [USD/kWh]</t>
  </si>
  <si>
    <t>c_el [USD/kWh_ex]</t>
  </si>
  <si>
    <t>c_solar [USD/kWh_ex]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</si>
</sst>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/>
    <xf numFmtId="165" fontId="0" fillId="0" borderId="0" xfId="0" applyNumberFormat="1"/>
    <xf numFmtId="0" fontId="2" fillId="2" borderId="3" xfId="0" applyFont="1" applyFill="1" applyBorder="1" applyAlignment="1">
      <alignment horizontal="center"/>
    </xf>
    <xf numFmtId="0" fontId="2" fillId="0" borderId="0" xfId="0" applyFont="1"/>
    <xf numFmtId="2" fontId="3" fillId="0" borderId="0" xfId="0" applyNumberFormat="1" applyFont="1"/>
    <xf numFmtId="0" fontId="2" fillId="0" borderId="3" xfId="0" applyFont="1" applyBorder="1"/>
    <xf numFmtId="2" fontId="3" fillId="0" borderId="3" xfId="0" applyNumberFormat="1" applyFont="1" applyBorder="1"/>
    <xf numFmtId="0" fontId="1" fillId="0" borderId="0" xfId="0" applyFont="1"/>
    <xf numFmtId="0" fontId="1" fillId="0" borderId="3" xfId="0" applyFont="1" applyBorder="1"/>
    <xf numFmtId="2" fontId="0" fillId="0" borderId="3" xfId="0" applyNumberFormat="1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0" xfId="0" applyFont="1" applyFill="1"/>
    <xf numFmtId="0" fontId="0" fillId="3" borderId="0" xfId="0" applyFill="1"/>
    <xf numFmtId="2" fontId="0" fillId="3" borderId="0" xfId="1" applyNumberFormat="1" applyFont="1" applyFill="1"/>
    <xf numFmtId="0" fontId="0" fillId="0" borderId="3" xfId="0" applyBorder="1"/>
    <xf numFmtId="0" fontId="0" fillId="0" borderId="1" xfId="0" applyBorder="1"/>
    <xf numFmtId="9" fontId="0" fillId="0" borderId="0" xfId="1" applyFont="1"/>
    <xf numFmtId="166" fontId="0" fillId="0" borderId="0" xfId="1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/>
    <xf numFmtId="2" fontId="2" fillId="3" borderId="0" xfId="0" applyNumberFormat="1" applyFont="1" applyFill="1"/>
    <xf numFmtId="166" fontId="0" fillId="0" borderId="3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748145</xdr:colOff>
      <xdr:row>30</xdr:row>
      <xdr:rowOff>27709</xdr:rowOff>
    </xdr:from>
    <xdr:to>
      <xdr:col>19</xdr:col>
      <xdr:colOff>518172</xdr:colOff>
      <xdr:row>57</xdr:row>
      <xdr:rowOff>102952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FF9945-73F5-ECD6-453A-B89521C4E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4319" y="5593622"/>
          <a:ext cx="10358514" cy="5084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89D7-F248-4C3B-B68C-D47001A5CC86}">
  <dimension ref="B2:V38"/>
  <sheetViews>
    <sheetView tabSelected="1" zoomScale="96" zoomScaleNormal="85" workbookViewId="0">
      <selection activeCell="B29" sqref="B29:N38"/>
    </sheetView>
  </sheetViews>
  <sheetFormatPr defaultColWidth="11.5546875" defaultRowHeight="14.4" x14ac:dyDescent="0.3"/>
  <cols>
    <col min="1" max="1" width="11.5546875" style="16"/>
    <col min="2" max="2" width="5.5546875" style="16" bestFit="1" customWidth="1"/>
    <col min="3" max="4" width="18.6640625" style="16" bestFit="1" customWidth="1"/>
    <col min="5" max="5" width="16.44140625" style="16" bestFit="1" customWidth="1"/>
    <col min="6" max="6" width="20.5546875" style="16" bestFit="1" customWidth="1"/>
    <col min="7" max="7" width="20.88671875" style="16" bestFit="1" customWidth="1"/>
    <col min="8" max="8" width="12.77734375" style="16" bestFit="1" customWidth="1"/>
    <col min="9" max="9" width="12.6640625" style="16" bestFit="1" customWidth="1"/>
    <col min="10" max="10" width="23.44140625" style="16" bestFit="1" customWidth="1"/>
    <col min="11" max="11" width="15.6640625" style="16" bestFit="1" customWidth="1"/>
    <col min="12" max="12" width="24.88671875" style="16" bestFit="1" customWidth="1"/>
    <col min="13" max="13" width="13.5546875" style="16" bestFit="1" customWidth="1"/>
    <col min="14" max="14" width="17.88671875" style="16" bestFit="1" customWidth="1"/>
    <col min="15" max="16" width="19.109375" style="16" bestFit="1" customWidth="1"/>
    <col min="17" max="17" width="19" style="16" bestFit="1" customWidth="1"/>
    <col min="18" max="19" width="18.6640625" style="16" bestFit="1" customWidth="1"/>
    <col min="20" max="22" width="23.88671875" style="16" bestFit="1" customWidth="1"/>
    <col min="23" max="26" width="12" style="16" bestFit="1" customWidth="1"/>
    <col min="27" max="27" width="2" style="16" bestFit="1" customWidth="1"/>
    <col min="28" max="28" width="12" style="16" bestFit="1" customWidth="1"/>
    <col min="29" max="29" width="12.6640625" style="16" bestFit="1" customWidth="1"/>
    <col min="30" max="31" width="12" style="16" bestFit="1" customWidth="1"/>
    <col min="32" max="16384" width="11.5546875" style="16"/>
  </cols>
  <sheetData>
    <row r="2" spans="2:22" x14ac:dyDescent="0.3">
      <c r="B2" s="17" t="s">
        <v>0</v>
      </c>
      <c r="C2" s="17" t="s">
        <v>90</v>
      </c>
      <c r="D2" s="17" t="s">
        <v>97</v>
      </c>
      <c r="E2" s="17" t="s">
        <v>91</v>
      </c>
      <c r="F2" s="17" t="s">
        <v>1</v>
      </c>
      <c r="G2" s="17" t="s">
        <v>2</v>
      </c>
      <c r="H2" s="17" t="s">
        <v>3</v>
      </c>
      <c r="I2" s="17" t="s">
        <v>4</v>
      </c>
      <c r="J2" s="17" t="s">
        <v>5</v>
      </c>
      <c r="K2" s="17" t="s">
        <v>6</v>
      </c>
      <c r="L2" s="17" t="s">
        <v>7</v>
      </c>
    </row>
    <row r="3" spans="2:22" x14ac:dyDescent="0.3">
      <c r="B3" s="18">
        <v>500</v>
      </c>
      <c r="C3" s="18">
        <v>8.0526303683300007E-2</v>
      </c>
      <c r="D3" s="28">
        <v>6.4565794259395549E-3</v>
      </c>
      <c r="E3" s="18">
        <v>44.589942416003034</v>
      </c>
      <c r="F3" s="18">
        <v>22.47486145686447</v>
      </c>
      <c r="G3" s="18">
        <v>43.188213676973945</v>
      </c>
      <c r="H3" s="18">
        <v>60.373080765557631</v>
      </c>
      <c r="I3" s="18">
        <v>59.258731330142155</v>
      </c>
      <c r="J3" s="18">
        <v>61.741337229740452</v>
      </c>
      <c r="K3" s="18">
        <v>0.11765662653570212</v>
      </c>
      <c r="L3" s="16">
        <v>1.0514599434966885</v>
      </c>
    </row>
    <row r="4" spans="2:22" x14ac:dyDescent="0.3">
      <c r="B4" s="16">
        <v>550</v>
      </c>
      <c r="C4" s="16">
        <v>9.0671008862792779E-2</v>
      </c>
      <c r="D4" s="28">
        <v>6.829141015887932E-3</v>
      </c>
      <c r="E4" s="16">
        <v>47.137754378239464</v>
      </c>
      <c r="F4" s="16">
        <v>23.31995649946877</v>
      </c>
      <c r="G4" s="16">
        <v>45.741485609600964</v>
      </c>
      <c r="H4" s="16">
        <v>60.253488612946846</v>
      </c>
      <c r="I4" s="16">
        <v>59.140653478648275</v>
      </c>
      <c r="J4" s="16">
        <v>61.748903609487513</v>
      </c>
      <c r="K4" s="16">
        <v>0.1241976761236304</v>
      </c>
      <c r="L4" s="16">
        <v>1.1099152284444098</v>
      </c>
    </row>
    <row r="5" spans="2:22" x14ac:dyDescent="0.3">
      <c r="B5" s="16">
        <v>600</v>
      </c>
      <c r="C5" s="16">
        <v>0.10067279804398914</v>
      </c>
      <c r="D5" s="28">
        <v>7.2046567457250098E-3</v>
      </c>
      <c r="E5" s="16">
        <v>49.350777247491919</v>
      </c>
      <c r="F5" s="16">
        <v>23.8622833259105</v>
      </c>
      <c r="G5" s="16">
        <v>47.957650558765302</v>
      </c>
      <c r="H5" s="16">
        <v>60.137926812244068</v>
      </c>
      <c r="I5" s="16">
        <v>59.026407742274614</v>
      </c>
      <c r="J5" s="16">
        <v>61.741121170525673</v>
      </c>
      <c r="K5" s="16">
        <v>0.13077373160286609</v>
      </c>
      <c r="L5" s="16">
        <v>1.1686833499367433</v>
      </c>
    </row>
    <row r="6" spans="2:22" x14ac:dyDescent="0.3">
      <c r="B6" s="16">
        <v>650</v>
      </c>
      <c r="C6" s="16">
        <v>0.11056078597785049</v>
      </c>
      <c r="D6" s="28">
        <v>7.5829286494261215E-3</v>
      </c>
      <c r="E6" s="16">
        <v>51.293449783410971</v>
      </c>
      <c r="F6" s="16">
        <v>24.125923072132675</v>
      </c>
      <c r="G6" s="16">
        <v>49.901758210142674</v>
      </c>
      <c r="H6" s="16">
        <v>60.02605440500448</v>
      </c>
      <c r="I6" s="16">
        <v>58.915670991729016</v>
      </c>
      <c r="J6" s="16">
        <v>61.719233738654736</v>
      </c>
      <c r="K6" s="16">
        <v>0.13738146670363119</v>
      </c>
      <c r="L6" s="16">
        <v>1.2277345821559782</v>
      </c>
    </row>
    <row r="7" spans="2:22" x14ac:dyDescent="0.3">
      <c r="B7" s="16">
        <v>700</v>
      </c>
      <c r="C7" s="16">
        <v>0.12035645965773048</v>
      </c>
      <c r="D7" s="28">
        <v>7.9636673783110984E-3</v>
      </c>
      <c r="E7" s="16">
        <v>53.013836423037084</v>
      </c>
      <c r="F7" s="16">
        <v>24.124848439648932</v>
      </c>
      <c r="G7" s="16">
        <v>51.622321222319435</v>
      </c>
      <c r="H7" s="16">
        <v>59.917602707954345</v>
      </c>
      <c r="I7" s="16">
        <v>58.808190542626747</v>
      </c>
      <c r="J7" s="16">
        <v>61.684414893591736</v>
      </c>
      <c r="K7" s="16">
        <v>0.14401597106124334</v>
      </c>
      <c r="L7" s="16">
        <v>1.2870250427308154</v>
      </c>
    </row>
    <row r="8" spans="2:22" x14ac:dyDescent="0.3">
      <c r="B8" s="16">
        <v>750</v>
      </c>
      <c r="C8" s="16">
        <v>0.13007607499990922</v>
      </c>
      <c r="D8" s="28">
        <v>8.346540457000862E-3</v>
      </c>
      <c r="E8" s="16">
        <v>54.548732968205762</v>
      </c>
      <c r="F8" s="16">
        <v>23.865856194283836</v>
      </c>
      <c r="G8" s="16">
        <v>53.156470352450683</v>
      </c>
      <c r="H8" s="16">
        <v>59.812350100425348</v>
      </c>
      <c r="I8" s="16">
        <v>58.703759417998292</v>
      </c>
      <c r="J8" s="16">
        <v>61.637781904685539</v>
      </c>
      <c r="K8" s="16">
        <v>0.15067160934350868</v>
      </c>
      <c r="L8" s="16">
        <v>1.3465043704853092</v>
      </c>
    </row>
    <row r="9" spans="2:22" x14ac:dyDescent="0.3">
      <c r="B9" s="16">
        <v>800.00000000000011</v>
      </c>
      <c r="C9" s="16">
        <v>0.13973221766874086</v>
      </c>
      <c r="D9" s="28">
        <v>8.7311994008784366E-3</v>
      </c>
      <c r="E9" s="16">
        <v>55.926920526231214</v>
      </c>
      <c r="F9" s="16">
        <v>23.350437403404296</v>
      </c>
      <c r="G9" s="16">
        <v>54.533240924600179</v>
      </c>
      <c r="H9" s="16">
        <v>59.710107512679613</v>
      </c>
      <c r="I9" s="16">
        <v>58.602202086203761</v>
      </c>
      <c r="J9" s="16">
        <v>61.580400411172036</v>
      </c>
      <c r="K9" s="16">
        <v>0.1573425008087958</v>
      </c>
      <c r="L9" s="16">
        <v>1.4061200110972298</v>
      </c>
    </row>
    <row r="10" spans="2:22" x14ac:dyDescent="0.3">
      <c r="B10" s="16">
        <v>850.00000000000011</v>
      </c>
      <c r="C10" s="16">
        <v>0.14933470529666967</v>
      </c>
      <c r="D10" s="28">
        <v>9.1172959388786771E-3</v>
      </c>
      <c r="E10" s="16">
        <v>57.171298724771077</v>
      </c>
      <c r="F10" s="16">
        <v>22.576007444576813</v>
      </c>
      <c r="G10" s="16">
        <v>55.775727102446339</v>
      </c>
      <c r="H10" s="16">
        <v>59.610709482604229</v>
      </c>
      <c r="I10" s="16">
        <v>58.503365660619181</v>
      </c>
      <c r="J10" s="16">
        <v>61.513285424167464</v>
      </c>
      <c r="K10" s="16">
        <v>0.16402280329876123</v>
      </c>
      <c r="L10" s="16">
        <v>1.4658197550509493</v>
      </c>
    </row>
    <row r="11" spans="2:22" x14ac:dyDescent="0.3">
      <c r="B11" s="19">
        <v>900.00000000000011</v>
      </c>
      <c r="C11" s="19">
        <v>0.15889137447026183</v>
      </c>
      <c r="D11" s="35">
        <v>9.5044922426629139E-3</v>
      </c>
      <c r="E11" s="19">
        <v>58.300376404657108</v>
      </c>
      <c r="F11" s="19">
        <v>21.536763391264525</v>
      </c>
      <c r="G11" s="19">
        <v>56.902588178959753</v>
      </c>
      <c r="H11" s="19">
        <v>59.514008305492474</v>
      </c>
      <c r="I11" s="19">
        <v>58.407114137429971</v>
      </c>
      <c r="J11" s="19">
        <v>61.437400772307171</v>
      </c>
      <c r="K11" s="19">
        <v>0.17070688968013925</v>
      </c>
      <c r="L11" s="19">
        <v>1.5255533144417424</v>
      </c>
    </row>
    <row r="12" spans="2:22" x14ac:dyDescent="0.3">
      <c r="B12" s="16">
        <v>800.00000000000011</v>
      </c>
      <c r="C12" s="16">
        <v>0.13973221766874086</v>
      </c>
      <c r="D12" s="16">
        <v>8.7311994008784366E-3</v>
      </c>
      <c r="E12" s="16">
        <v>55.926920526231214</v>
      </c>
      <c r="F12" s="16">
        <v>23.350437403404296</v>
      </c>
      <c r="G12" s="16">
        <v>54.533240924600179</v>
      </c>
      <c r="H12" s="16">
        <v>59.710107512679613</v>
      </c>
      <c r="I12" s="16">
        <v>58.602202086203761</v>
      </c>
      <c r="J12" s="16">
        <v>61.580400411172036</v>
      </c>
      <c r="K12" s="16">
        <v>0.1573425008087958</v>
      </c>
      <c r="L12" s="16">
        <v>1.4061200110972298</v>
      </c>
    </row>
    <row r="15" spans="2:22" x14ac:dyDescent="0.3">
      <c r="B15" s="17" t="s">
        <v>0</v>
      </c>
      <c r="C15" s="17" t="s">
        <v>8</v>
      </c>
      <c r="D15" s="17" t="s">
        <v>9</v>
      </c>
      <c r="E15" s="17" t="s">
        <v>10</v>
      </c>
      <c r="F15" s="17" t="s">
        <v>11</v>
      </c>
      <c r="G15" s="17" t="s">
        <v>92</v>
      </c>
      <c r="H15" s="17" t="s">
        <v>12</v>
      </c>
      <c r="I15" s="17" t="s">
        <v>13</v>
      </c>
      <c r="J15" s="17" t="s">
        <v>93</v>
      </c>
      <c r="K15" s="17" t="s">
        <v>14</v>
      </c>
      <c r="L15" s="17" t="s">
        <v>94</v>
      </c>
      <c r="M15" s="17" t="s">
        <v>15</v>
      </c>
      <c r="N15" s="17" t="s">
        <v>16</v>
      </c>
      <c r="O15" s="17" t="s">
        <v>17</v>
      </c>
      <c r="P15" s="17" t="s">
        <v>18</v>
      </c>
      <c r="Q15" s="17" t="s">
        <v>95</v>
      </c>
      <c r="R15" s="17" t="s">
        <v>19</v>
      </c>
      <c r="S15" s="17" t="s">
        <v>96</v>
      </c>
      <c r="T15" s="17" t="s">
        <v>20</v>
      </c>
      <c r="U15" s="17" t="s">
        <v>121</v>
      </c>
      <c r="V15" s="17" t="s">
        <v>256</v>
      </c>
    </row>
    <row r="16" spans="2:22" x14ac:dyDescent="0.3">
      <c r="B16" s="16">
        <v>500</v>
      </c>
      <c r="C16" s="16">
        <v>2.9485614292537941</v>
      </c>
      <c r="D16" s="16">
        <v>1.3564262301173839</v>
      </c>
      <c r="E16" s="16">
        <v>1.5119146157877403</v>
      </c>
      <c r="F16" s="16">
        <v>2.7713026251072881</v>
      </c>
      <c r="G16" s="16">
        <v>1.0558993918270143</v>
      </c>
      <c r="H16" s="16">
        <v>0.34017747966403838</v>
      </c>
      <c r="I16" s="16">
        <v>3.0281716564914243</v>
      </c>
      <c r="J16" s="16">
        <v>11.794615416517447</v>
      </c>
      <c r="K16" s="16">
        <v>138.63903314567469</v>
      </c>
      <c r="L16" s="16">
        <v>89.329858804423736</v>
      </c>
      <c r="M16" s="16">
        <v>2.6191366593659655</v>
      </c>
      <c r="N16" s="16">
        <v>2.22691604780809</v>
      </c>
      <c r="O16" s="16">
        <v>4.1204925273506943</v>
      </c>
      <c r="P16" s="16">
        <v>2.2683754402637701</v>
      </c>
      <c r="Q16" s="16">
        <v>4.5088010500839229E-2</v>
      </c>
      <c r="R16" s="16">
        <v>0.49737118649536521</v>
      </c>
      <c r="S16" s="16">
        <v>1.5153815141914335</v>
      </c>
      <c r="T16" s="16">
        <v>346.59758286418668</v>
      </c>
      <c r="U16" s="16">
        <v>2.613943596167863</v>
      </c>
      <c r="V16" s="16">
        <v>0</v>
      </c>
    </row>
    <row r="17" spans="2:22" x14ac:dyDescent="0.3">
      <c r="B17" s="16">
        <v>550</v>
      </c>
      <c r="C17" s="16">
        <v>2.9782296698241626</v>
      </c>
      <c r="D17" s="16">
        <v>1.3186805418472505</v>
      </c>
      <c r="E17" s="16">
        <v>1.521902528703853</v>
      </c>
      <c r="F17" s="16">
        <v>2.7837767920301411</v>
      </c>
      <c r="G17" s="16">
        <v>1.107829801583406</v>
      </c>
      <c r="H17" s="16">
        <v>0.80540884684346381</v>
      </c>
      <c r="I17" s="16">
        <v>3.6495425807604551</v>
      </c>
      <c r="J17" s="16">
        <v>15.916416778681471</v>
      </c>
      <c r="K17" s="16">
        <v>150.74172785462781</v>
      </c>
      <c r="L17" s="16">
        <v>91.657429244218392</v>
      </c>
      <c r="M17" s="16">
        <v>2.5764946879570898</v>
      </c>
      <c r="N17" s="16">
        <v>2.1433678536465721</v>
      </c>
      <c r="O17" s="16">
        <v>4.422196598899367</v>
      </c>
      <c r="P17" s="16">
        <v>2.4453950272512031</v>
      </c>
      <c r="Q17" s="16">
        <v>4.7120742623562424E-2</v>
      </c>
      <c r="R17" s="16">
        <v>0.53311172189374645</v>
      </c>
      <c r="S17" s="16">
        <v>1.5319792762479894</v>
      </c>
      <c r="T17" s="16">
        <v>376.85431963656947</v>
      </c>
      <c r="U17" s="16">
        <v>2.7728772231402958</v>
      </c>
      <c r="V17" s="16">
        <v>0</v>
      </c>
    </row>
    <row r="18" spans="2:22" x14ac:dyDescent="0.3">
      <c r="B18" s="16">
        <v>600</v>
      </c>
      <c r="C18" s="16">
        <v>3.0072656005696845</v>
      </c>
      <c r="D18" s="16">
        <v>1.281507723530027</v>
      </c>
      <c r="E18" s="16">
        <v>1.5289907199523296</v>
      </c>
      <c r="F18" s="16">
        <v>2.7924530756981696</v>
      </c>
      <c r="G18" s="16">
        <v>1.1593508930651124</v>
      </c>
      <c r="H18" s="16">
        <v>1.3201571327557904</v>
      </c>
      <c r="I18" s="16">
        <v>4.2970000918122384</v>
      </c>
      <c r="J18" s="16">
        <v>21.237887994432182</v>
      </c>
      <c r="K18" s="16">
        <v>163.81075957825703</v>
      </c>
      <c r="L18" s="16">
        <v>94.28961039278758</v>
      </c>
      <c r="M18" s="16">
        <v>2.5337431600716043</v>
      </c>
      <c r="N18" s="16">
        <v>2.0631505655030526</v>
      </c>
      <c r="O18" s="16">
        <v>4.7319989180319988</v>
      </c>
      <c r="P18" s="16">
        <v>2.6329592517508069</v>
      </c>
      <c r="Q18" s="16">
        <v>4.9126762554551132E-2</v>
      </c>
      <c r="R18" s="16">
        <v>0.57002155542473976</v>
      </c>
      <c r="S18" s="16">
        <v>1.5452754473960513</v>
      </c>
      <c r="T18" s="16">
        <v>409.52689894564264</v>
      </c>
      <c r="U18" s="16">
        <v>2.9336195314518481</v>
      </c>
      <c r="V18" s="16">
        <v>0</v>
      </c>
    </row>
    <row r="19" spans="2:22" x14ac:dyDescent="0.3">
      <c r="B19" s="16">
        <v>650</v>
      </c>
      <c r="C19" s="16">
        <v>3.0356893574921995</v>
      </c>
      <c r="D19" s="16">
        <v>1.2448910840925236</v>
      </c>
      <c r="E19" s="16">
        <v>1.5339874970301752</v>
      </c>
      <c r="F19" s="16">
        <v>2.7984221022535349</v>
      </c>
      <c r="G19" s="16">
        <v>1.2104286334423342</v>
      </c>
      <c r="H19" s="16">
        <v>1.8584739014314837</v>
      </c>
      <c r="I19" s="16">
        <v>4.9704374229532986</v>
      </c>
      <c r="J19" s="16">
        <v>28.08683671750898</v>
      </c>
      <c r="K19" s="16">
        <v>178.14389492497978</v>
      </c>
      <c r="L19" s="16">
        <v>97.339721439540327</v>
      </c>
      <c r="M19" s="16">
        <v>2.4909917652447429</v>
      </c>
      <c r="N19" s="16">
        <v>1.9861373826062056</v>
      </c>
      <c r="O19" s="16">
        <v>5.049709890044169</v>
      </c>
      <c r="P19" s="16">
        <v>2.831678052314782</v>
      </c>
      <c r="Q19" s="16">
        <v>5.1105442380682063E-2</v>
      </c>
      <c r="R19" s="16">
        <v>0.60812327302000813</v>
      </c>
      <c r="S19" s="16">
        <v>1.5554402347445702</v>
      </c>
      <c r="T19" s="16">
        <v>445.35973731244945</v>
      </c>
      <c r="U19" s="16">
        <v>3.0960810402037904</v>
      </c>
      <c r="V19" s="16">
        <v>0</v>
      </c>
    </row>
    <row r="20" spans="2:22" x14ac:dyDescent="0.3">
      <c r="B20" s="16">
        <v>700</v>
      </c>
      <c r="C20" s="16">
        <v>3.063513184167503</v>
      </c>
      <c r="D20" s="16">
        <v>1.208823944950167</v>
      </c>
      <c r="E20" s="16">
        <v>1.5374467368248153</v>
      </c>
      <c r="F20" s="16">
        <v>2.8024408784225816</v>
      </c>
      <c r="G20" s="16">
        <v>1.2610208717953011</v>
      </c>
      <c r="H20" s="16">
        <v>2.40314755285962</v>
      </c>
      <c r="I20" s="16">
        <v>5.6695500958230554</v>
      </c>
      <c r="J20" s="16">
        <v>36.894255484164844</v>
      </c>
      <c r="K20" s="16">
        <v>194.12004412755883</v>
      </c>
      <c r="L20" s="16">
        <v>100.93942961581514</v>
      </c>
      <c r="M20" s="16">
        <v>2.448349687554257</v>
      </c>
      <c r="N20" s="16">
        <v>1.9122256047370421</v>
      </c>
      <c r="O20" s="16">
        <v>5.3750504559566545</v>
      </c>
      <c r="P20" s="16">
        <v>3.0421077774372409</v>
      </c>
      <c r="Q20" s="16">
        <v>5.3055735422867997E-2</v>
      </c>
      <c r="R20" s="16">
        <v>0.64743022246408999</v>
      </c>
      <c r="S20" s="16">
        <v>1.5626381639506877</v>
      </c>
      <c r="T20" s="16">
        <v>485.30011031889705</v>
      </c>
      <c r="U20" s="16">
        <v>3.2601326474556238</v>
      </c>
      <c r="V20" s="16">
        <v>0</v>
      </c>
    </row>
    <row r="21" spans="2:22" x14ac:dyDescent="0.3">
      <c r="B21" s="16">
        <v>750</v>
      </c>
      <c r="C21" s="16">
        <v>3.0907455465127787</v>
      </c>
      <c r="D21" s="16">
        <v>1.1733045407099962</v>
      </c>
      <c r="E21" s="16">
        <v>1.5397884766306962</v>
      </c>
      <c r="F21" s="16">
        <v>2.8050183820071397</v>
      </c>
      <c r="G21" s="16">
        <v>1.3110809858743577</v>
      </c>
      <c r="H21" s="16">
        <v>2.9426310690947575</v>
      </c>
      <c r="I21" s="16">
        <v>6.3938950186234722</v>
      </c>
      <c r="J21" s="16">
        <v>48.238346125543394</v>
      </c>
      <c r="K21" s="16">
        <v>212.23823419605003</v>
      </c>
      <c r="L21" s="16">
        <v>105.25356004225264</v>
      </c>
      <c r="M21" s="16">
        <v>2.4059212449514122</v>
      </c>
      <c r="N21" s="16">
        <v>1.8413239464199036</v>
      </c>
      <c r="O21" s="16">
        <v>5.7076844573422223</v>
      </c>
      <c r="P21" s="16">
        <v>3.2647615339510341</v>
      </c>
      <c r="Q21" s="16">
        <v>5.4976442991773351E-2</v>
      </c>
      <c r="R21" s="16">
        <v>0.68794990297823333</v>
      </c>
      <c r="S21" s="16">
        <v>1.5670318376931678</v>
      </c>
      <c r="T21" s="16">
        <v>530.59558549012502</v>
      </c>
      <c r="U21" s="16">
        <v>3.4256258281326053</v>
      </c>
      <c r="V21" s="16">
        <v>0</v>
      </c>
    </row>
    <row r="22" spans="2:22" x14ac:dyDescent="0.3">
      <c r="B22" s="16">
        <v>800.00000000000011</v>
      </c>
      <c r="C22" s="16">
        <v>3.1173934843303797</v>
      </c>
      <c r="D22" s="16">
        <v>1.1383330527634061</v>
      </c>
      <c r="E22" s="16">
        <v>1.5412694860114715</v>
      </c>
      <c r="F22" s="16">
        <v>2.8065325482354964</v>
      </c>
      <c r="G22" s="16">
        <v>1.3605627687494435</v>
      </c>
      <c r="H22" s="16">
        <v>3.4691288051130833</v>
      </c>
      <c r="I22" s="16">
        <v>7.1429330882120778</v>
      </c>
      <c r="J22" s="16">
        <v>62.913606293226934</v>
      </c>
      <c r="K22" s="16">
        <v>233.17709736516051</v>
      </c>
      <c r="L22" s="16">
        <v>110.50043569183623</v>
      </c>
      <c r="M22" s="16">
        <v>2.3638032842787435</v>
      </c>
      <c r="N22" s="16">
        <v>1.7733455047729523</v>
      </c>
      <c r="O22" s="16">
        <v>6.0472409675346555</v>
      </c>
      <c r="P22" s="16">
        <v>3.5001169170646191</v>
      </c>
      <c r="Q22" s="16">
        <v>5.6866372819326445E-2</v>
      </c>
      <c r="R22" s="16">
        <v>0.72968630976222748</v>
      </c>
      <c r="S22" s="16">
        <v>1.5687831328618429</v>
      </c>
      <c r="T22" s="16">
        <v>582.94274341290134</v>
      </c>
      <c r="U22" s="16">
        <v>3.5924040888912341</v>
      </c>
      <c r="V22" s="16">
        <v>0</v>
      </c>
    </row>
    <row r="23" spans="2:22" x14ac:dyDescent="0.3">
      <c r="B23" s="16">
        <v>850.00000000000011</v>
      </c>
      <c r="C23" s="16">
        <v>3.1434638349221058</v>
      </c>
      <c r="D23" s="16">
        <v>1.1039100202102636</v>
      </c>
      <c r="E23" s="16">
        <v>1.5421068241741742</v>
      </c>
      <c r="F23" s="16">
        <v>2.8072526540154357</v>
      </c>
      <c r="G23" s="16">
        <v>1.4094226215160197</v>
      </c>
      <c r="H23" s="16">
        <v>3.9773664473136887</v>
      </c>
      <c r="I23" s="16">
        <v>7.9160573066213615</v>
      </c>
      <c r="J23" s="16">
        <v>82.043236087615213</v>
      </c>
      <c r="K23" s="16">
        <v>257.89040913785033</v>
      </c>
      <c r="L23" s="16">
        <v>116.98291458223341</v>
      </c>
      <c r="M23" s="16">
        <v>2.3220839519793026</v>
      </c>
      <c r="N23" s="16">
        <v>1.708204350308886</v>
      </c>
      <c r="O23" s="16">
        <v>6.3933284684315037</v>
      </c>
      <c r="P23" s="16">
        <v>3.7486202181996262</v>
      </c>
      <c r="Q23" s="16">
        <v>5.8724422672312072E-2</v>
      </c>
      <c r="R23" s="16">
        <v>0.77264132938901409</v>
      </c>
      <c r="S23" s="16">
        <v>1.5680531510701445</v>
      </c>
      <c r="T23" s="16">
        <v>644.72602284462573</v>
      </c>
      <c r="U23" s="16">
        <v>3.7603099147127264</v>
      </c>
      <c r="V23" s="16">
        <v>0</v>
      </c>
    </row>
    <row r="24" spans="2:22" x14ac:dyDescent="0.3">
      <c r="B24" s="19">
        <v>900.00000000000011</v>
      </c>
      <c r="C24" s="19">
        <v>3.1689638838626562</v>
      </c>
      <c r="D24" s="19">
        <v>1.070035455695117</v>
      </c>
      <c r="E24" s="19">
        <v>1.5424567100955173</v>
      </c>
      <c r="F24" s="19">
        <v>2.8073738467151998</v>
      </c>
      <c r="G24" s="19">
        <v>1.4576207961410272</v>
      </c>
      <c r="H24" s="19">
        <v>4.4638000501786594</v>
      </c>
      <c r="I24" s="19">
        <v>8.7126139107183764</v>
      </c>
      <c r="J24" s="19">
        <v>107.27029753288905</v>
      </c>
      <c r="K24" s="19">
        <v>287.7689864409565</v>
      </c>
      <c r="L24" s="19">
        <v>125.14003470369184</v>
      </c>
      <c r="M24" s="19">
        <v>2.2808421653316127</v>
      </c>
      <c r="N24" s="19">
        <v>1.6458138969378528</v>
      </c>
      <c r="O24" s="19">
        <v>6.7455449820073499</v>
      </c>
      <c r="P24" s="19">
        <v>4.010689351783931</v>
      </c>
      <c r="Q24" s="19">
        <v>6.0549626026528983E-2</v>
      </c>
      <c r="R24" s="19">
        <v>0.81681569164802381</v>
      </c>
      <c r="S24" s="19">
        <v>1.565001589193616</v>
      </c>
      <c r="T24" s="19">
        <v>719.42246610239113</v>
      </c>
      <c r="U24" s="19">
        <v>3.9291892339566523</v>
      </c>
      <c r="V24" s="19">
        <v>0</v>
      </c>
    </row>
    <row r="25" spans="2:22" x14ac:dyDescent="0.3">
      <c r="B25" s="16">
        <v>800.00000000000011</v>
      </c>
      <c r="C25" s="16">
        <v>3.1173934843303797</v>
      </c>
      <c r="D25" s="16">
        <v>1.1383330527634061</v>
      </c>
      <c r="E25" s="16">
        <v>1.5412694860114715</v>
      </c>
      <c r="F25" s="16">
        <v>2.8065325482354964</v>
      </c>
      <c r="G25" s="16">
        <v>1.3605627687494435</v>
      </c>
      <c r="H25" s="16">
        <v>3.4691288051130833</v>
      </c>
      <c r="I25" s="16">
        <v>7.1429330882120778</v>
      </c>
      <c r="J25" s="16">
        <v>62.913606293226934</v>
      </c>
      <c r="K25" s="16">
        <v>233.17709736516051</v>
      </c>
      <c r="L25" s="16">
        <v>110.50043569183623</v>
      </c>
      <c r="M25" s="16">
        <v>2.3638032842787435</v>
      </c>
      <c r="N25" s="16">
        <v>1.7733455047729523</v>
      </c>
      <c r="O25" s="16">
        <v>6.0472409675346555</v>
      </c>
      <c r="P25" s="16">
        <v>3.5001169170646191</v>
      </c>
      <c r="Q25" s="16">
        <v>5.6866372819326445E-2</v>
      </c>
      <c r="R25" s="16">
        <v>0.72968630976222748</v>
      </c>
      <c r="S25" s="16">
        <v>1.5687831328618429</v>
      </c>
      <c r="T25" s="16">
        <v>582.94274341290134</v>
      </c>
      <c r="U25" s="16">
        <v>3.5924040888912341</v>
      </c>
      <c r="V25" s="16">
        <v>0</v>
      </c>
    </row>
    <row r="28" spans="2:22" x14ac:dyDescent="0.3">
      <c r="B28" s="17" t="s">
        <v>0</v>
      </c>
      <c r="C28" s="17" t="s">
        <v>118</v>
      </c>
      <c r="D28" s="17" t="s">
        <v>119</v>
      </c>
      <c r="E28" s="17" t="s">
        <v>120</v>
      </c>
      <c r="F28" s="17" t="s">
        <v>123</v>
      </c>
      <c r="G28" s="17" t="s">
        <v>125</v>
      </c>
      <c r="H28" s="17" t="s">
        <v>124</v>
      </c>
      <c r="I28" s="17" t="s">
        <v>243</v>
      </c>
      <c r="J28" s="17" t="s">
        <v>244</v>
      </c>
      <c r="K28" s="17" t="s">
        <v>245</v>
      </c>
      <c r="L28" s="17" t="s">
        <v>21</v>
      </c>
      <c r="M28" s="17" t="s">
        <v>257</v>
      </c>
      <c r="N28" s="17" t="s">
        <v>258</v>
      </c>
    </row>
    <row r="29" spans="2:22" x14ac:dyDescent="0.3">
      <c r="B29" s="16">
        <v>500</v>
      </c>
      <c r="C29" s="16">
        <v>0.77520063341668211</v>
      </c>
      <c r="D29" s="16">
        <v>3.4491898199439781</v>
      </c>
      <c r="E29" s="16">
        <v>0.28992315650990819</v>
      </c>
      <c r="F29" s="16">
        <v>1.1501027911638782E-2</v>
      </c>
      <c r="G29" s="16">
        <v>0.67616332983692173</v>
      </c>
      <c r="H29" s="16">
        <v>22.479936658331788</v>
      </c>
      <c r="I29" s="27">
        <v>0.58163665659906605</v>
      </c>
      <c r="J29" s="27">
        <v>1.0205969579864951</v>
      </c>
      <c r="K29" s="28">
        <v>0.5513087846648963</v>
      </c>
      <c r="L29" s="16">
        <v>268.68266577700848</v>
      </c>
      <c r="M29" s="16">
        <v>10.995477783944521</v>
      </c>
      <c r="N29" s="16">
        <v>41.014731688098969</v>
      </c>
    </row>
    <row r="30" spans="2:22" x14ac:dyDescent="0.3">
      <c r="B30" s="16">
        <v>550</v>
      </c>
      <c r="C30" s="16">
        <v>0.76675116275552069</v>
      </c>
      <c r="D30" s="16">
        <v>3.2879613766560301</v>
      </c>
      <c r="E30" s="16">
        <v>0.30413982569863229</v>
      </c>
      <c r="F30" s="16">
        <v>1.1374816623091307E-2</v>
      </c>
      <c r="G30" s="16">
        <v>0.66924568911163462</v>
      </c>
      <c r="H30" s="16">
        <v>23.324883724447943</v>
      </c>
      <c r="I30" s="27">
        <v>0.52129913820588714</v>
      </c>
      <c r="J30" s="27">
        <v>0.92836567207474396</v>
      </c>
      <c r="K30" s="28">
        <v>0.49553507400335811</v>
      </c>
      <c r="L30" s="16">
        <v>288.95348777078027</v>
      </c>
      <c r="M30" s="16">
        <v>10.988368490216915</v>
      </c>
      <c r="N30" s="16">
        <v>43.587442367170809</v>
      </c>
    </row>
    <row r="31" spans="2:22" x14ac:dyDescent="0.3">
      <c r="B31" s="16">
        <v>600</v>
      </c>
      <c r="C31" s="16">
        <v>0.76132942475270404</v>
      </c>
      <c r="D31" s="16">
        <v>3.1905137255914902</v>
      </c>
      <c r="E31" s="16">
        <v>0.3134291484091985</v>
      </c>
      <c r="F31" s="16">
        <v>1.127939281035162E-2</v>
      </c>
      <c r="G31" s="16">
        <v>0.66401550993537228</v>
      </c>
      <c r="H31" s="16">
        <v>23.867057524729596</v>
      </c>
      <c r="I31" s="27">
        <v>0.47464802507936671</v>
      </c>
      <c r="J31" s="27">
        <v>0.8566856863956146</v>
      </c>
      <c r="K31" s="28">
        <v>0.45214671860120231</v>
      </c>
      <c r="L31" s="16">
        <v>311.78487839504487</v>
      </c>
      <c r="M31" s="16">
        <v>10.979868872004122</v>
      </c>
      <c r="N31" s="16">
        <v>45.818984974791263</v>
      </c>
    </row>
    <row r="32" spans="2:22" x14ac:dyDescent="0.3">
      <c r="B32" s="16">
        <v>650</v>
      </c>
      <c r="C32" s="16">
        <v>0.75869465030744332</v>
      </c>
      <c r="D32" s="16">
        <v>3.1447279676680844</v>
      </c>
      <c r="E32" s="16">
        <v>0.31799252917305015</v>
      </c>
      <c r="F32" s="16">
        <v>1.1208338766796713E-2</v>
      </c>
      <c r="G32" s="16">
        <v>0.66012103780812792</v>
      </c>
      <c r="H32" s="16">
        <v>24.130534969255667</v>
      </c>
      <c r="I32" s="27">
        <v>0.43813979781718343</v>
      </c>
      <c r="J32" s="27">
        <v>0.80048312975010827</v>
      </c>
      <c r="K32" s="28">
        <v>0.41807194091093991</v>
      </c>
      <c r="L32" s="16">
        <v>337.89205016128363</v>
      </c>
      <c r="M32" s="16">
        <v>10.970046366718318</v>
      </c>
      <c r="N32" s="16">
        <v>47.775434182758048</v>
      </c>
    </row>
    <row r="33" spans="2:14" x14ac:dyDescent="0.3">
      <c r="B33" s="16">
        <v>700</v>
      </c>
      <c r="C33" s="16">
        <v>0.75870714833633734</v>
      </c>
      <c r="D33" s="16">
        <v>3.1449198540431458</v>
      </c>
      <c r="E33" s="16">
        <v>0.31797312695087865</v>
      </c>
      <c r="F33" s="16">
        <v>1.115141134071782E-2</v>
      </c>
      <c r="G33" s="16">
        <v>0.65700084558474381</v>
      </c>
      <c r="H33" s="16">
        <v>24.129285166366266</v>
      </c>
      <c r="I33" s="27">
        <v>0.40886311779381496</v>
      </c>
      <c r="J33" s="27">
        <v>0.75535114796615432</v>
      </c>
      <c r="K33" s="28">
        <v>0.39065886215107742</v>
      </c>
      <c r="L33" s="16">
        <v>368.20066278736033</v>
      </c>
      <c r="M33" s="16">
        <v>10.958961494742761</v>
      </c>
      <c r="N33" s="16">
        <v>49.506051623435397</v>
      </c>
    </row>
    <row r="34" spans="2:14" x14ac:dyDescent="0.3">
      <c r="B34" s="16">
        <v>750</v>
      </c>
      <c r="C34" s="16">
        <v>0.76129898292430753</v>
      </c>
      <c r="D34" s="16">
        <v>3.1899085317821028</v>
      </c>
      <c r="E34" s="16">
        <v>0.31348861261590188</v>
      </c>
      <c r="F34" s="16">
        <v>1.1103769648194128E-2</v>
      </c>
      <c r="G34" s="16">
        <v>0.65438960441752014</v>
      </c>
      <c r="H34" s="16">
        <v>23.870101707569248</v>
      </c>
      <c r="I34" s="27">
        <v>0.38518188305798379</v>
      </c>
      <c r="J34" s="27">
        <v>0.71883378865245118</v>
      </c>
      <c r="K34" s="28">
        <v>0.36842357050823132</v>
      </c>
      <c r="L34" s="16">
        <v>403.94187957775966</v>
      </c>
      <c r="M34" s="16">
        <v>10.946675187309518</v>
      </c>
      <c r="N34" s="16">
        <v>51.048525827134007</v>
      </c>
    </row>
    <row r="35" spans="2:14" x14ac:dyDescent="0.3">
      <c r="B35" s="16">
        <v>800.00000000000011</v>
      </c>
      <c r="C35" s="16">
        <v>0.76645527234079391</v>
      </c>
      <c r="D35" s="16">
        <v>3.282402205575178</v>
      </c>
      <c r="E35" s="16">
        <v>0.30465492568262798</v>
      </c>
      <c r="F35" s="16">
        <v>1.1062549616918996E-2</v>
      </c>
      <c r="G35" s="16">
        <v>0.65213033450333024</v>
      </c>
      <c r="H35" s="16">
        <v>23.354472765920619</v>
      </c>
      <c r="I35" s="27">
        <v>0.36596110142425675</v>
      </c>
      <c r="J35" s="27">
        <v>0.68927684304305448</v>
      </c>
      <c r="K35" s="28">
        <v>0.35036473015281244</v>
      </c>
      <c r="L35" s="16">
        <v>446.79953916162481</v>
      </c>
      <c r="M35" s="16">
        <v>10.933247310468779</v>
      </c>
      <c r="N35" s="16">
        <v>52.432314177470431</v>
      </c>
    </row>
    <row r="36" spans="2:14" x14ac:dyDescent="0.3">
      <c r="B36" s="16">
        <v>850.00000000000011</v>
      </c>
      <c r="C36" s="16">
        <v>0.77420188985225213</v>
      </c>
      <c r="D36" s="16">
        <v>3.429312697353093</v>
      </c>
      <c r="E36" s="16">
        <v>0.29160362097391923</v>
      </c>
      <c r="F36" s="16">
        <v>1.1028955032921501E-2</v>
      </c>
      <c r="G36" s="16">
        <v>0.65028901535442751</v>
      </c>
      <c r="H36" s="16">
        <v>22.579811014774787</v>
      </c>
      <c r="I36" s="28">
        <v>0.35093728119586881</v>
      </c>
      <c r="J36" s="28">
        <v>0.66633362852870348</v>
      </c>
      <c r="K36" s="28">
        <v>0.33625465413724592</v>
      </c>
      <c r="L36" s="16">
        <v>499.14810532323554</v>
      </c>
      <c r="M36" s="16">
        <v>10.918736575521219</v>
      </c>
      <c r="N36" s="16">
        <v>53.680833138434281</v>
      </c>
    </row>
    <row r="37" spans="2:14" x14ac:dyDescent="0.3">
      <c r="B37" s="19">
        <v>900.00000000000011</v>
      </c>
      <c r="C37" s="19">
        <v>0.78459689051119186</v>
      </c>
      <c r="D37" s="16">
        <v>3.6430585053900457</v>
      </c>
      <c r="E37" s="16">
        <v>0.2744946309592507</v>
      </c>
      <c r="F37" s="16">
        <v>1.0998641061841103E-2</v>
      </c>
      <c r="G37" s="16">
        <v>0.64862750659951096</v>
      </c>
      <c r="H37" s="16">
        <v>21.540310948880816</v>
      </c>
      <c r="I37" s="28">
        <v>0.33935090075498781</v>
      </c>
      <c r="J37" s="28">
        <v>0.64882498756823903</v>
      </c>
      <c r="K37" s="28">
        <v>0.32538198146565123</v>
      </c>
      <c r="L37" s="16">
        <v>564.45662986782941</v>
      </c>
      <c r="M37" s="16">
        <v>10.903200362831967</v>
      </c>
      <c r="N37" s="16">
        <v>54.81299090541404</v>
      </c>
    </row>
    <row r="38" spans="2:14" x14ac:dyDescent="0.3">
      <c r="B38" s="16">
        <v>800.00000000000011</v>
      </c>
      <c r="C38" s="16">
        <v>0.76645527234079391</v>
      </c>
      <c r="D38" s="18">
        <v>3.282402205575178</v>
      </c>
      <c r="E38" s="18">
        <v>0.30465492568262798</v>
      </c>
      <c r="F38" s="18">
        <v>1.1062549616918996E-2</v>
      </c>
      <c r="G38" s="18">
        <v>0.65213033450333024</v>
      </c>
      <c r="H38" s="18">
        <v>23.354472765920619</v>
      </c>
      <c r="I38" s="29">
        <v>0.36596110142425675</v>
      </c>
      <c r="J38" s="29">
        <v>0.68927684304305448</v>
      </c>
      <c r="K38" s="29">
        <v>0.35036473015281244</v>
      </c>
      <c r="L38" s="16">
        <v>446.79953916162481</v>
      </c>
      <c r="M38" s="16">
        <v>10.933247310468779</v>
      </c>
      <c r="N38" s="16">
        <v>52.432314177470431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8F8E6-609F-4748-8A52-08E74E409D1F}">
  <dimension ref="B2:V34"/>
  <sheetViews>
    <sheetView topLeftCell="A17" workbookViewId="0">
      <selection activeCell="B29" sqref="B29:L34"/>
    </sheetView>
  </sheetViews>
  <sheetFormatPr defaultColWidth="11.5546875" defaultRowHeight="14.4" x14ac:dyDescent="0.3"/>
  <cols>
    <col min="1" max="1" width="11.5546875" style="16"/>
    <col min="2" max="2" width="4" style="16" bestFit="1" customWidth="1"/>
    <col min="3" max="4" width="18.6640625" style="16" bestFit="1" customWidth="1"/>
    <col min="5" max="5" width="16.44140625" style="16" bestFit="1" customWidth="1"/>
    <col min="6" max="6" width="20.5546875" style="16" bestFit="1" customWidth="1"/>
    <col min="7" max="7" width="20.6640625" style="16" bestFit="1" customWidth="1"/>
    <col min="8" max="8" width="12.88671875" style="16" bestFit="1" customWidth="1"/>
    <col min="9" max="9" width="12.77734375" style="16" bestFit="1" customWidth="1"/>
    <col min="10" max="10" width="23.44140625" style="16" bestFit="1" customWidth="1"/>
    <col min="11" max="11" width="15.6640625" style="16" bestFit="1" customWidth="1"/>
    <col min="12" max="12" width="14.88671875" style="16" bestFit="1" customWidth="1"/>
    <col min="13" max="13" width="13.5546875" style="16" bestFit="1" customWidth="1"/>
    <col min="14" max="14" width="17.88671875" style="16" bestFit="1" customWidth="1"/>
    <col min="15" max="15" width="19.109375" style="16" bestFit="1" customWidth="1"/>
    <col min="16" max="16" width="19" style="16" bestFit="1" customWidth="1"/>
    <col min="17" max="17" width="15.33203125" style="16" bestFit="1" customWidth="1"/>
    <col min="18" max="18" width="18.6640625" style="16" bestFit="1" customWidth="1"/>
    <col min="19" max="19" width="12" style="16" bestFit="1" customWidth="1"/>
    <col min="20" max="20" width="23.88671875" style="16" bestFit="1" customWidth="1"/>
    <col min="21" max="21" width="12" style="16" bestFit="1" customWidth="1"/>
    <col min="22" max="22" width="23.88671875" style="16" bestFit="1" customWidth="1"/>
    <col min="23" max="16384" width="11.5546875" style="16"/>
  </cols>
  <sheetData>
    <row r="2" spans="2:22" x14ac:dyDescent="0.3">
      <c r="B2" s="17" t="s">
        <v>240</v>
      </c>
      <c r="C2" s="17" t="s">
        <v>90</v>
      </c>
      <c r="D2" s="17" t="s">
        <v>97</v>
      </c>
      <c r="E2" s="17" t="s">
        <v>91</v>
      </c>
      <c r="F2" s="17" t="s">
        <v>1</v>
      </c>
      <c r="G2" s="17" t="s">
        <v>2</v>
      </c>
      <c r="H2" s="17" t="s">
        <v>3</v>
      </c>
      <c r="I2" s="17" t="s">
        <v>4</v>
      </c>
      <c r="J2" s="17" t="s">
        <v>5</v>
      </c>
      <c r="K2" s="17" t="s">
        <v>6</v>
      </c>
      <c r="L2" s="17" t="s">
        <v>7</v>
      </c>
    </row>
    <row r="3" spans="2:22" x14ac:dyDescent="0.3">
      <c r="B3" s="16">
        <v>2.5</v>
      </c>
      <c r="C3" s="16">
        <v>0.14847875374177946</v>
      </c>
      <c r="D3" s="16">
        <v>7.0460959203304391E-3</v>
      </c>
      <c r="E3" s="16">
        <v>57.084544319769137</v>
      </c>
      <c r="F3" s="16">
        <v>21.206837150076275</v>
      </c>
      <c r="G3" s="16">
        <v>56.020632425096053</v>
      </c>
      <c r="H3" s="16">
        <v>60.272729507660863</v>
      </c>
      <c r="I3" s="16">
        <v>59.189670847268573</v>
      </c>
      <c r="J3" s="16">
        <v>64.776135827888709</v>
      </c>
      <c r="K3" s="16">
        <v>0.12825791427583585</v>
      </c>
      <c r="L3" s="16">
        <v>1.1462002886556641</v>
      </c>
    </row>
    <row r="4" spans="2:22" x14ac:dyDescent="0.3">
      <c r="B4" s="16">
        <v>2.7</v>
      </c>
      <c r="C4" s="16">
        <v>0.15607764404148369</v>
      </c>
      <c r="D4" s="16">
        <v>7.9400319410870904E-3</v>
      </c>
      <c r="E4" s="16">
        <v>57.697069284918221</v>
      </c>
      <c r="F4" s="16">
        <v>21.400648824288343</v>
      </c>
      <c r="G4" s="16">
        <v>56.535431218935074</v>
      </c>
      <c r="H4" s="16">
        <v>59.985304092052907</v>
      </c>
      <c r="I4" s="16">
        <v>58.896149503948294</v>
      </c>
      <c r="J4" s="16">
        <v>63.828534187750677</v>
      </c>
      <c r="K4" s="16">
        <v>0.14380991630544512</v>
      </c>
      <c r="L4" s="16">
        <v>1.2851835967513741</v>
      </c>
    </row>
    <row r="5" spans="2:22" x14ac:dyDescent="0.3">
      <c r="B5" s="16">
        <v>2.9</v>
      </c>
      <c r="C5" s="16">
        <v>0.16275131129996334</v>
      </c>
      <c r="D5" s="16">
        <v>8.634839733668416E-3</v>
      </c>
      <c r="E5" s="16">
        <v>58.036241121665519</v>
      </c>
      <c r="F5" s="16">
        <v>21.504209451046101</v>
      </c>
      <c r="G5" s="16">
        <v>56.810792316635428</v>
      </c>
      <c r="H5" s="16">
        <v>59.775581482552411</v>
      </c>
      <c r="I5" s="16">
        <v>58.680781077313128</v>
      </c>
      <c r="J5" s="16">
        <v>63.002993894505607</v>
      </c>
      <c r="K5" s="16">
        <v>0.15581938243407464</v>
      </c>
      <c r="L5" s="16">
        <v>1.3925083854083262</v>
      </c>
    </row>
    <row r="6" spans="2:22" x14ac:dyDescent="0.3">
      <c r="B6" s="16">
        <v>3.1</v>
      </c>
      <c r="C6" s="16">
        <v>0.1686820468877186</v>
      </c>
      <c r="D6" s="16">
        <v>9.1992492869705442E-3</v>
      </c>
      <c r="E6" s="16">
        <v>58.210891042459878</v>
      </c>
      <c r="F6" s="16">
        <v>21.553386714527988</v>
      </c>
      <c r="G6" s="16">
        <v>56.941895744836977</v>
      </c>
      <c r="H6" s="16">
        <v>59.61137447454162</v>
      </c>
      <c r="I6" s="16">
        <v>58.511143056617463</v>
      </c>
      <c r="J6" s="16">
        <v>62.245051077676692</v>
      </c>
      <c r="K6" s="16">
        <v>0.16552167013536886</v>
      </c>
      <c r="L6" s="16">
        <v>1.479214652437798</v>
      </c>
    </row>
    <row r="7" spans="2:22" x14ac:dyDescent="0.3">
      <c r="B7" s="16">
        <v>3.3</v>
      </c>
      <c r="C7" s="16">
        <v>0.17399251938127558</v>
      </c>
      <c r="D7" s="16">
        <v>9.6764030259118422E-3</v>
      </c>
      <c r="E7" s="16">
        <v>58.279337866454064</v>
      </c>
      <c r="F7" s="16">
        <v>21.567124704770642</v>
      </c>
      <c r="G7" s="16">
        <v>56.9790358844106</v>
      </c>
      <c r="H7" s="16">
        <v>59.475987557600519</v>
      </c>
      <c r="I7" s="16">
        <v>58.370569027881871</v>
      </c>
      <c r="J7" s="16">
        <v>61.541323787813837</v>
      </c>
      <c r="K7" s="16">
        <v>0.17368610240558416</v>
      </c>
      <c r="L7" s="16">
        <v>1.5521775933811897</v>
      </c>
    </row>
    <row r="8" spans="2:22" x14ac:dyDescent="0.3">
      <c r="B8" s="16">
        <v>3.5</v>
      </c>
      <c r="C8" s="16">
        <v>0.17877612677578256</v>
      </c>
      <c r="D8" s="16">
        <v>1.0092101088076177E-2</v>
      </c>
      <c r="E8" s="16">
        <v>58.275613945900204</v>
      </c>
      <c r="F8" s="16">
        <v>21.556543874654039</v>
      </c>
      <c r="G8" s="16">
        <v>56.951726807451642</v>
      </c>
      <c r="H8" s="16">
        <v>59.360333217803884</v>
      </c>
      <c r="I8" s="16">
        <v>58.250012419945477</v>
      </c>
      <c r="J8" s="16">
        <v>60.887064704183103</v>
      </c>
      <c r="K8" s="16">
        <v>0.18077098915647657</v>
      </c>
      <c r="L8" s="16">
        <v>1.6154929785160275</v>
      </c>
    </row>
    <row r="15" spans="2:22" x14ac:dyDescent="0.3">
      <c r="B15" s="17" t="s">
        <v>240</v>
      </c>
      <c r="C15" s="17" t="s">
        <v>8</v>
      </c>
      <c r="D15" s="17" t="s">
        <v>9</v>
      </c>
      <c r="E15" s="17" t="s">
        <v>10</v>
      </c>
      <c r="F15" s="17" t="s">
        <v>11</v>
      </c>
      <c r="G15" s="17" t="s">
        <v>92</v>
      </c>
      <c r="H15" s="17" t="s">
        <v>12</v>
      </c>
      <c r="I15" s="17" t="s">
        <v>13</v>
      </c>
      <c r="J15" s="17" t="s">
        <v>93</v>
      </c>
      <c r="K15" s="17" t="s">
        <v>14</v>
      </c>
      <c r="L15" s="17" t="s">
        <v>94</v>
      </c>
      <c r="M15" s="17" t="s">
        <v>15</v>
      </c>
      <c r="N15" s="17" t="s">
        <v>16</v>
      </c>
      <c r="O15" s="17" t="s">
        <v>17</v>
      </c>
      <c r="P15" s="17" t="s">
        <v>18</v>
      </c>
      <c r="Q15" s="17" t="s">
        <v>95</v>
      </c>
      <c r="R15" s="17" t="s">
        <v>19</v>
      </c>
      <c r="S15" s="17" t="s">
        <v>96</v>
      </c>
      <c r="T15" s="17" t="s">
        <v>20</v>
      </c>
      <c r="U15" s="17" t="s">
        <v>121</v>
      </c>
      <c r="V15" s="17" t="s">
        <v>21</v>
      </c>
    </row>
    <row r="16" spans="2:22" x14ac:dyDescent="0.3">
      <c r="B16" s="16">
        <v>2.5</v>
      </c>
      <c r="C16" s="16">
        <v>2.6648478767473245</v>
      </c>
      <c r="D16" s="16">
        <v>0.98637006924873272</v>
      </c>
      <c r="E16" s="16">
        <v>1.5424567100955173</v>
      </c>
      <c r="F16" s="16">
        <v>2.3988101530183341</v>
      </c>
      <c r="G16" s="16">
        <v>1.0413468841175191</v>
      </c>
      <c r="H16" s="16">
        <v>6.9476550741795799</v>
      </c>
      <c r="I16" s="16">
        <v>9.2492997745483656</v>
      </c>
      <c r="J16" s="16">
        <v>102.3755615721311</v>
      </c>
      <c r="K16" s="16">
        <v>274.63810828811501</v>
      </c>
      <c r="L16" s="16">
        <v>119.16108401865955</v>
      </c>
      <c r="M16" s="16">
        <v>2.6912818058574373</v>
      </c>
      <c r="N16" s="16">
        <v>2.1097033254538005</v>
      </c>
      <c r="O16" s="16">
        <v>6.0462345139607443</v>
      </c>
      <c r="P16" s="16">
        <v>2.5988390560364678</v>
      </c>
      <c r="Q16" s="16">
        <v>2.7206981667653451E-3</v>
      </c>
      <c r="R16" s="16">
        <v>0.55737419969541158</v>
      </c>
      <c r="S16" s="16">
        <v>2.7806464000045716</v>
      </c>
      <c r="T16" s="16">
        <v>686.59527072028743</v>
      </c>
      <c r="U16" s="16">
        <v>2.8576847188422274</v>
      </c>
      <c r="V16" s="16">
        <v>0.32092719452954599</v>
      </c>
    </row>
    <row r="17" spans="2:22" x14ac:dyDescent="0.3">
      <c r="B17" s="16">
        <v>2.7</v>
      </c>
      <c r="C17" s="16">
        <v>3.0873746791042942</v>
      </c>
      <c r="D17" s="16">
        <v>1.0581726709377508</v>
      </c>
      <c r="E17" s="16">
        <v>1.5424567100955173</v>
      </c>
      <c r="F17" s="16">
        <v>2.74151919271308</v>
      </c>
      <c r="G17" s="16">
        <v>1.1326607037394234</v>
      </c>
      <c r="H17" s="16">
        <v>4.8122007797128168</v>
      </c>
      <c r="I17" s="16">
        <v>8.7983787257595463</v>
      </c>
      <c r="J17" s="16">
        <v>106.47250431367063</v>
      </c>
      <c r="K17" s="16">
        <v>285.62878406094933</v>
      </c>
      <c r="L17" s="16">
        <v>124.16319568817148</v>
      </c>
      <c r="M17" s="16">
        <v>2.7933502406624782</v>
      </c>
      <c r="N17" s="16">
        <v>2.3674117191339534</v>
      </c>
      <c r="O17" s="16">
        <v>7.2331985651124286</v>
      </c>
      <c r="P17" s="16">
        <v>2.8578379919673433</v>
      </c>
      <c r="Q17" s="16">
        <v>2.9586199441852868E-3</v>
      </c>
      <c r="R17" s="16">
        <v>0.61569121606216437</v>
      </c>
      <c r="S17" s="16">
        <v>2.1236843920598876</v>
      </c>
      <c r="T17" s="16">
        <v>714.07196015237332</v>
      </c>
      <c r="U17" s="16">
        <v>3.2435870797906361</v>
      </c>
      <c r="V17" s="16">
        <v>0.55945962453110243</v>
      </c>
    </row>
    <row r="18" spans="2:22" x14ac:dyDescent="0.3">
      <c r="B18" s="16">
        <v>2.9</v>
      </c>
      <c r="C18" s="16">
        <v>3.4833349591886873</v>
      </c>
      <c r="D18" s="16">
        <v>1.1128283922583833</v>
      </c>
      <c r="E18" s="16">
        <v>1.5424567100955173</v>
      </c>
      <c r="F18" s="16">
        <v>3.0626461462244623</v>
      </c>
      <c r="G18" s="16">
        <v>1.1974264255678082</v>
      </c>
      <c r="H18" s="16">
        <v>3.2619581509413549</v>
      </c>
      <c r="I18" s="16">
        <v>8.3890102350076639</v>
      </c>
      <c r="J18" s="16">
        <v>110.37627722141367</v>
      </c>
      <c r="K18" s="16">
        <v>296.10125219792326</v>
      </c>
      <c r="L18" s="16">
        <v>128.95181516126439</v>
      </c>
      <c r="M18" s="16">
        <v>2.9063546710122252</v>
      </c>
      <c r="N18" s="16">
        <v>2.6602098178361233</v>
      </c>
      <c r="O18" s="16">
        <v>8.2300684789244212</v>
      </c>
      <c r="P18" s="16">
        <v>3.0525799129535578</v>
      </c>
      <c r="Q18" s="16">
        <v>3.1274897323413315E-3</v>
      </c>
      <c r="R18" s="16">
        <v>0.65954879822657841</v>
      </c>
      <c r="S18" s="16">
        <v>1.6876150578161564</v>
      </c>
      <c r="T18" s="16">
        <v>740.25313049480803</v>
      </c>
      <c r="U18" s="16">
        <v>3.5460454372147954</v>
      </c>
      <c r="V18" s="16">
        <v>0.81969460213791934</v>
      </c>
    </row>
    <row r="19" spans="2:22" x14ac:dyDescent="0.3">
      <c r="B19" s="16">
        <v>3.1</v>
      </c>
      <c r="C19" s="16">
        <v>3.849845505000594</v>
      </c>
      <c r="D19" s="16">
        <v>1.1592727723247735</v>
      </c>
      <c r="E19" s="16">
        <v>1.5424567100955173</v>
      </c>
      <c r="F19" s="16">
        <v>3.3649348540762438</v>
      </c>
      <c r="G19" s="16">
        <v>1.246119801291643</v>
      </c>
      <c r="H19" s="16">
        <v>2.0882936759883304</v>
      </c>
      <c r="I19" s="16">
        <v>8.0256331977169904</v>
      </c>
      <c r="J19" s="16">
        <v>114.05521230881628</v>
      </c>
      <c r="K19" s="16">
        <v>305.9705584796489</v>
      </c>
      <c r="L19" s="16">
        <v>133.48492502395891</v>
      </c>
      <c r="M19" s="16">
        <v>3.0177127726171351</v>
      </c>
      <c r="N19" s="16">
        <v>2.9697886856386071</v>
      </c>
      <c r="O19" s="16">
        <v>9.0624264174487941</v>
      </c>
      <c r="P19" s="16">
        <v>3.207705490075023</v>
      </c>
      <c r="Q19" s="16">
        <v>3.2545600708319853E-3</v>
      </c>
      <c r="R19" s="16">
        <v>0.69433863245079008</v>
      </c>
      <c r="S19" s="16">
        <v>1.3807716836777117</v>
      </c>
      <c r="T19" s="16">
        <v>764.92639619912222</v>
      </c>
      <c r="U19" s="16">
        <v>3.793448800711043</v>
      </c>
      <c r="V19" s="16">
        <v>1.1174058748848799</v>
      </c>
    </row>
    <row r="20" spans="2:22" x14ac:dyDescent="0.3">
      <c r="B20" s="16">
        <v>3.3</v>
      </c>
      <c r="C20" s="16">
        <v>4.1897807746840847</v>
      </c>
      <c r="D20" s="16">
        <v>1.2005121499819216</v>
      </c>
      <c r="E20" s="16">
        <v>1.5424567100955173</v>
      </c>
      <c r="F20" s="16">
        <v>3.6506399459165988</v>
      </c>
      <c r="G20" s="16">
        <v>1.2846957381636421</v>
      </c>
      <c r="H20" s="16">
        <v>1.1736306340101292</v>
      </c>
      <c r="I20" s="16">
        <v>7.7003977334383675</v>
      </c>
      <c r="J20" s="16">
        <v>117.50774436055892</v>
      </c>
      <c r="K20" s="16">
        <v>315.23250397653982</v>
      </c>
      <c r="L20" s="16">
        <v>137.75725064697997</v>
      </c>
      <c r="M20" s="16">
        <v>3.1240100726096798</v>
      </c>
      <c r="N20" s="16">
        <v>3.2886593092478451</v>
      </c>
      <c r="O20" s="16">
        <v>9.7741074490298807</v>
      </c>
      <c r="P20" s="16">
        <v>3.3375714984830207</v>
      </c>
      <c r="Q20" s="16">
        <v>3.3553158126509606E-3</v>
      </c>
      <c r="R20" s="16">
        <v>0.72325774816297872</v>
      </c>
      <c r="S20" s="16">
        <v>1.1531086879647943</v>
      </c>
      <c r="T20" s="16">
        <v>788.08125994134957</v>
      </c>
      <c r="U20" s="16">
        <v>4.0038191008005048</v>
      </c>
      <c r="V20" s="16">
        <v>1.4413207479618455</v>
      </c>
    </row>
    <row r="21" spans="2:22" x14ac:dyDescent="0.3">
      <c r="B21" s="16">
        <v>3.5</v>
      </c>
      <c r="C21" s="16">
        <v>4.5064720702113261</v>
      </c>
      <c r="D21" s="16">
        <v>1.2378443466263889</v>
      </c>
      <c r="E21" s="16">
        <v>1.5424567100955173</v>
      </c>
      <c r="F21" s="16">
        <v>3.9216241291317857</v>
      </c>
      <c r="G21" s="16">
        <v>1.3165083531758173</v>
      </c>
      <c r="H21" s="16">
        <v>0.44774442370759787</v>
      </c>
      <c r="I21" s="16">
        <v>7.4057577728634207</v>
      </c>
      <c r="J21" s="16">
        <v>120.74612116199641</v>
      </c>
      <c r="K21" s="16">
        <v>323.91994524683048</v>
      </c>
      <c r="L21" s="16">
        <v>141.78080722790236</v>
      </c>
      <c r="M21" s="16">
        <v>3.2245721574894319</v>
      </c>
      <c r="N21" s="16">
        <v>3.6131644148064064</v>
      </c>
      <c r="O21" s="16">
        <v>10.394910711552424</v>
      </c>
      <c r="P21" s="16">
        <v>3.4503707440606868</v>
      </c>
      <c r="Q21" s="16">
        <v>3.4384776896527925E-3</v>
      </c>
      <c r="R21" s="16">
        <v>0.74815376648165788</v>
      </c>
      <c r="S21" s="16">
        <v>0.97706388919974141</v>
      </c>
      <c r="T21" s="16">
        <v>809.79986311707626</v>
      </c>
      <c r="U21" s="16">
        <v>4.1879918385926507</v>
      </c>
      <c r="V21" s="16">
        <v>1.7830262165573139</v>
      </c>
    </row>
    <row r="28" spans="2:22" x14ac:dyDescent="0.3">
      <c r="B28" s="17" t="s">
        <v>240</v>
      </c>
      <c r="C28" s="17" t="s">
        <v>118</v>
      </c>
      <c r="D28" s="17" t="s">
        <v>119</v>
      </c>
      <c r="E28" s="17" t="s">
        <v>120</v>
      </c>
      <c r="F28" s="17" t="s">
        <v>123</v>
      </c>
      <c r="G28" s="17" t="s">
        <v>125</v>
      </c>
      <c r="H28" s="17" t="s">
        <v>124</v>
      </c>
      <c r="I28" s="17" t="s">
        <v>243</v>
      </c>
      <c r="J28" s="17" t="s">
        <v>244</v>
      </c>
      <c r="K28" s="17" t="s">
        <v>245</v>
      </c>
      <c r="L28" s="17" t="s">
        <v>21</v>
      </c>
    </row>
    <row r="29" spans="2:22" x14ac:dyDescent="0.3">
      <c r="B29" s="16">
        <v>2.5</v>
      </c>
      <c r="C29" s="16">
        <v>0.78743627897654755</v>
      </c>
      <c r="D29" s="16">
        <v>3.7131245616874811</v>
      </c>
      <c r="E29" s="16">
        <v>0.26931496193748378</v>
      </c>
      <c r="F29" s="16">
        <v>1.0997228710354294E-2</v>
      </c>
      <c r="G29" s="16">
        <v>0.64855009561451893</v>
      </c>
      <c r="H29" s="16">
        <v>21.256372102345232</v>
      </c>
      <c r="I29" s="16">
        <v>0.35098831294958061</v>
      </c>
      <c r="J29" s="16">
        <v>0.54883192349750376</v>
      </c>
      <c r="K29" s="16">
        <v>0.27127798612207926</v>
      </c>
      <c r="L29" s="16">
        <v>540.6500251388785</v>
      </c>
    </row>
    <row r="30" spans="2:22" x14ac:dyDescent="0.3">
      <c r="B30" s="16">
        <v>2.7</v>
      </c>
      <c r="C30" s="16">
        <v>0.78517992392523905</v>
      </c>
      <c r="D30" s="16">
        <v>3.6689538264564714</v>
      </c>
      <c r="E30" s="16">
        <v>0.27255725945338877</v>
      </c>
      <c r="F30" s="16">
        <v>1.1016222111888416E-2</v>
      </c>
      <c r="G30" s="16">
        <v>0.6495911239526041</v>
      </c>
      <c r="H30" s="16">
        <v>21.482007607476106</v>
      </c>
      <c r="I30" s="16">
        <v>0.35093086912975024</v>
      </c>
      <c r="J30" s="16">
        <v>0.55301157756786723</v>
      </c>
      <c r="K30" s="16">
        <v>0.2721215799162145</v>
      </c>
      <c r="L30" s="16">
        <v>560.67496734958672</v>
      </c>
    </row>
    <row r="31" spans="2:22" x14ac:dyDescent="0.3">
      <c r="B31" s="16">
        <v>2.9</v>
      </c>
      <c r="C31" s="16">
        <v>0.78381911721975628</v>
      </c>
      <c r="D31" s="16">
        <v>3.6449566723394535</v>
      </c>
      <c r="E31" s="16">
        <v>0.2743516836808288</v>
      </c>
      <c r="F31" s="16">
        <v>1.103590178240826E-2</v>
      </c>
      <c r="G31" s="16">
        <v>0.65066976669379684</v>
      </c>
      <c r="H31" s="16">
        <v>21.618088278024373</v>
      </c>
      <c r="I31" s="16">
        <v>0.35119613448215797</v>
      </c>
      <c r="J31" s="16">
        <v>0.55638111653416655</v>
      </c>
      <c r="K31" s="16">
        <v>0.27290188863584475</v>
      </c>
      <c r="L31" s="16">
        <v>580.22455526360147</v>
      </c>
    </row>
    <row r="32" spans="2:22" x14ac:dyDescent="0.3">
      <c r="B32" s="16">
        <v>3.1</v>
      </c>
      <c r="C32" s="16">
        <v>0.78297297929263887</v>
      </c>
      <c r="D32" s="16">
        <v>3.6327143834192821</v>
      </c>
      <c r="E32" s="16">
        <v>0.27527625198509353</v>
      </c>
      <c r="F32" s="16">
        <v>1.1058445552501973E-2</v>
      </c>
      <c r="G32" s="16">
        <v>0.65190539073263321</v>
      </c>
      <c r="H32" s="16">
        <v>21.702702070736112</v>
      </c>
      <c r="I32" s="16">
        <v>0.3524851112997372</v>
      </c>
      <c r="J32" s="16">
        <v>0.56059959092402722</v>
      </c>
      <c r="K32" s="16">
        <v>0.27442136234970582</v>
      </c>
      <c r="L32" s="16">
        <v>598.91669937160816</v>
      </c>
    </row>
    <row r="33" spans="2:12" x14ac:dyDescent="0.3">
      <c r="B33" s="16">
        <v>3.3</v>
      </c>
      <c r="C33" s="16">
        <v>0.78246690182478418</v>
      </c>
      <c r="D33" s="16">
        <v>3.628053866873143</v>
      </c>
      <c r="E33" s="16">
        <v>0.2756298656783327</v>
      </c>
      <c r="F33" s="16">
        <v>1.1078267669082587E-2</v>
      </c>
      <c r="G33" s="16">
        <v>0.65299184094241669</v>
      </c>
      <c r="H33" s="16">
        <v>21.753309817521583</v>
      </c>
      <c r="I33" s="16">
        <v>0.35411786703491061</v>
      </c>
      <c r="J33" s="16">
        <v>0.564886595632204</v>
      </c>
      <c r="K33" s="16">
        <v>0.27613125659978288</v>
      </c>
      <c r="L33" s="16">
        <v>616.64750185248022</v>
      </c>
    </row>
    <row r="34" spans="2:12" x14ac:dyDescent="0.3">
      <c r="B34" s="16">
        <v>3.5</v>
      </c>
      <c r="C34" s="16">
        <v>0.78219937578680065</v>
      </c>
      <c r="D34" s="16">
        <v>3.6285936202718592</v>
      </c>
      <c r="E34" s="16">
        <v>0.27558886572839164</v>
      </c>
      <c r="F34" s="16">
        <v>1.1097736814647584E-2</v>
      </c>
      <c r="G34" s="16">
        <v>0.65405894481083415</v>
      </c>
      <c r="H34" s="16">
        <v>21.780062421319933</v>
      </c>
      <c r="I34" s="16">
        <v>0.35608240264787838</v>
      </c>
      <c r="J34" s="16">
        <v>0.56934216663942383</v>
      </c>
      <c r="K34" s="16">
        <v>0.27804171826073282</v>
      </c>
      <c r="L34" s="16">
        <v>633.42494744241367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8E15-0944-4FE7-87E9-AAA093D2FC4F}">
  <dimension ref="B2:V35"/>
  <sheetViews>
    <sheetView topLeftCell="A17" workbookViewId="0">
      <selection activeCell="B29" sqref="B29:L35"/>
    </sheetView>
  </sheetViews>
  <sheetFormatPr defaultColWidth="11.5546875" defaultRowHeight="14.4" x14ac:dyDescent="0.3"/>
  <cols>
    <col min="1" max="16384" width="11.5546875" style="16"/>
  </cols>
  <sheetData>
    <row r="2" spans="2:22" x14ac:dyDescent="0.3">
      <c r="B2" s="17" t="s">
        <v>77</v>
      </c>
      <c r="C2" s="17" t="s">
        <v>90</v>
      </c>
      <c r="D2" s="17" t="s">
        <v>97</v>
      </c>
      <c r="E2" s="17" t="s">
        <v>91</v>
      </c>
      <c r="F2" s="17" t="s">
        <v>1</v>
      </c>
      <c r="G2" s="17" t="s">
        <v>2</v>
      </c>
      <c r="H2" s="17" t="s">
        <v>3</v>
      </c>
      <c r="I2" s="17" t="s">
        <v>4</v>
      </c>
      <c r="J2" s="17" t="s">
        <v>5</v>
      </c>
      <c r="K2" s="17" t="s">
        <v>6</v>
      </c>
      <c r="L2" s="17" t="s">
        <v>7</v>
      </c>
    </row>
    <row r="3" spans="2:22" x14ac:dyDescent="0.3">
      <c r="B3" s="16">
        <v>0.6</v>
      </c>
      <c r="C3" s="16">
        <v>86.156901039217743</v>
      </c>
      <c r="D3" s="16">
        <v>9.8084317239001884</v>
      </c>
      <c r="E3" s="16">
        <v>42.819099089721973</v>
      </c>
      <c r="F3" s="16">
        <v>14.663864822242006</v>
      </c>
      <c r="G3" s="16">
        <v>38.727712763416655</v>
      </c>
      <c r="H3" s="16">
        <v>16.016506866358213</v>
      </c>
      <c r="I3" s="16">
        <v>15.664532932350181</v>
      </c>
      <c r="J3" s="16">
        <v>90.225393350942056</v>
      </c>
      <c r="K3" s="16">
        <v>47.243533000228496</v>
      </c>
      <c r="L3" s="16">
        <v>422.20046589497224</v>
      </c>
    </row>
    <row r="4" spans="2:22" x14ac:dyDescent="0.3">
      <c r="B4" s="16">
        <v>0.65</v>
      </c>
      <c r="C4" s="16">
        <v>97.210785133141698</v>
      </c>
      <c r="D4" s="16">
        <v>9.7623189303832358</v>
      </c>
      <c r="E4" s="16">
        <v>45.843080992075038</v>
      </c>
      <c r="F4" s="16">
        <v>15.896467543144151</v>
      </c>
      <c r="G4" s="16">
        <v>41.980367277779763</v>
      </c>
      <c r="H4" s="16">
        <v>16.044057225018896</v>
      </c>
      <c r="I4" s="16">
        <v>15.691521012346005</v>
      </c>
      <c r="J4" s="16">
        <v>90.168789512744638</v>
      </c>
      <c r="K4" s="16">
        <v>47.102438442878928</v>
      </c>
      <c r="L4" s="16">
        <v>420.93954859973212</v>
      </c>
    </row>
    <row r="5" spans="2:22" x14ac:dyDescent="0.3">
      <c r="B5" s="16">
        <v>0.7</v>
      </c>
      <c r="C5" s="16">
        <v>108.26466430705101</v>
      </c>
      <c r="D5" s="16">
        <v>9.7161777460665224</v>
      </c>
      <c r="E5" s="16">
        <v>48.572907807703899</v>
      </c>
      <c r="F5" s="16">
        <v>17.00917520233341</v>
      </c>
      <c r="G5" s="16">
        <v>44.916636544834539</v>
      </c>
      <c r="H5" s="16">
        <v>16.071850720697345</v>
      </c>
      <c r="I5" s="16">
        <v>15.718748039933633</v>
      </c>
      <c r="J5" s="16">
        <v>90.112853619381781</v>
      </c>
      <c r="K5" s="16">
        <v>46.9611556476533</v>
      </c>
      <c r="L5" s="16">
        <v>419.67694908231425</v>
      </c>
    </row>
    <row r="6" spans="2:22" x14ac:dyDescent="0.3">
      <c r="B6" s="16">
        <v>0.75</v>
      </c>
      <c r="C6" s="16">
        <v>119.31853879470879</v>
      </c>
      <c r="D6" s="16">
        <v>9.6700083095183036</v>
      </c>
      <c r="E6" s="16">
        <v>51.049502295224535</v>
      </c>
      <c r="F6" s="16">
        <v>18.018667526050667</v>
      </c>
      <c r="G6" s="16">
        <v>47.580535882004845</v>
      </c>
      <c r="H6" s="16">
        <v>16.099889972255145</v>
      </c>
      <c r="I6" s="16">
        <v>15.746216593924817</v>
      </c>
      <c r="J6" s="16">
        <v>90.057588582861456</v>
      </c>
      <c r="K6" s="16">
        <v>46.819682069324237</v>
      </c>
      <c r="L6" s="16">
        <v>418.41264459682901</v>
      </c>
    </row>
    <row r="7" spans="2:22" x14ac:dyDescent="0.3">
      <c r="B7" s="16">
        <v>0.8</v>
      </c>
      <c r="C7" s="16">
        <v>130.37240883262211</v>
      </c>
      <c r="D7" s="16">
        <v>9.6238107617269772</v>
      </c>
      <c r="E7" s="16">
        <v>53.306532740811406</v>
      </c>
      <c r="F7" s="16">
        <v>18.938667386186037</v>
      </c>
      <c r="G7" s="16">
        <v>50.008277907730111</v>
      </c>
      <c r="H7" s="16">
        <v>16.128177636870465</v>
      </c>
      <c r="I7" s="16">
        <v>15.773929290950816</v>
      </c>
      <c r="J7" s="16">
        <v>90.002997330808796</v>
      </c>
      <c r="K7" s="16">
        <v>46.678015132002621</v>
      </c>
      <c r="L7" s="16">
        <v>417.14661212337256</v>
      </c>
    </row>
    <row r="8" spans="2:22" x14ac:dyDescent="0.3">
      <c r="B8" s="16">
        <v>0.85</v>
      </c>
      <c r="C8" s="16">
        <v>141.42627439275867</v>
      </c>
      <c r="D8" s="16">
        <v>9.5775851930610489</v>
      </c>
      <c r="E8" s="16">
        <v>55.371949413650469</v>
      </c>
      <c r="F8" s="16">
        <v>19.780567193227284</v>
      </c>
      <c r="G8" s="16">
        <v>52.229925497658378</v>
      </c>
      <c r="H8" s="16">
        <v>16.156716446102113</v>
      </c>
      <c r="I8" s="16">
        <v>15.801888820830188</v>
      </c>
      <c r="J8" s="16">
        <v>89.949082784059556</v>
      </c>
      <c r="K8" s="16">
        <v>46.536152072899299</v>
      </c>
      <c r="L8" s="16">
        <v>415.8788269717748</v>
      </c>
    </row>
    <row r="9" spans="2:22" x14ac:dyDescent="0.3">
      <c r="B9" s="16">
        <v>0.9</v>
      </c>
      <c r="C9" s="16">
        <v>152.48013629246421</v>
      </c>
      <c r="D9" s="16">
        <v>9.5313318637157156</v>
      </c>
      <c r="E9" s="16">
        <v>57.269159724006734</v>
      </c>
      <c r="F9" s="16">
        <v>20.553907258954244</v>
      </c>
      <c r="G9" s="16">
        <v>54.270654119622705</v>
      </c>
      <c r="H9" s="16">
        <v>16.185509060075972</v>
      </c>
      <c r="I9" s="16">
        <v>15.830097803601953</v>
      </c>
      <c r="J9" s="16">
        <v>89.89584795030737</v>
      </c>
      <c r="K9" s="16">
        <v>46.394090588744014</v>
      </c>
      <c r="L9" s="16">
        <v>414.60926855844019</v>
      </c>
    </row>
    <row r="15" spans="2:22" x14ac:dyDescent="0.3">
      <c r="B15" s="17" t="s">
        <v>77</v>
      </c>
      <c r="C15" s="17" t="s">
        <v>8</v>
      </c>
      <c r="D15" s="17" t="s">
        <v>9</v>
      </c>
      <c r="E15" s="17" t="s">
        <v>10</v>
      </c>
      <c r="F15" s="17" t="s">
        <v>11</v>
      </c>
      <c r="G15" s="17" t="s">
        <v>92</v>
      </c>
      <c r="H15" s="17" t="s">
        <v>12</v>
      </c>
      <c r="I15" s="17" t="s">
        <v>13</v>
      </c>
      <c r="J15" s="17" t="s">
        <v>93</v>
      </c>
      <c r="K15" s="17" t="s">
        <v>14</v>
      </c>
      <c r="L15" s="17" t="s">
        <v>94</v>
      </c>
      <c r="M15" s="17" t="s">
        <v>15</v>
      </c>
      <c r="N15" s="17" t="s">
        <v>16</v>
      </c>
      <c r="O15" s="17" t="s">
        <v>17</v>
      </c>
      <c r="P15" s="17" t="s">
        <v>18</v>
      </c>
      <c r="Q15" s="17" t="s">
        <v>95</v>
      </c>
      <c r="R15" s="17" t="s">
        <v>19</v>
      </c>
      <c r="S15" s="17" t="s">
        <v>96</v>
      </c>
      <c r="T15" s="17" t="s">
        <v>20</v>
      </c>
      <c r="U15" s="17" t="s">
        <v>121</v>
      </c>
      <c r="V15" s="17" t="s">
        <v>21</v>
      </c>
    </row>
    <row r="16" spans="2:22" x14ac:dyDescent="0.3">
      <c r="B16" s="16">
        <v>0.6</v>
      </c>
      <c r="C16" s="16">
        <v>3188.5506685029641</v>
      </c>
      <c r="D16" s="16">
        <v>1043.876310747346</v>
      </c>
      <c r="E16" s="16">
        <v>8610.2319558728486</v>
      </c>
      <c r="F16" s="16">
        <v>15551.202889850705</v>
      </c>
      <c r="G16" s="16">
        <v>1494.9001578998882</v>
      </c>
      <c r="H16" s="16">
        <v>4828.1167891059304</v>
      </c>
      <c r="I16" s="16">
        <v>9352.6697515099131</v>
      </c>
      <c r="J16" s="16">
        <v>79195.96700526237</v>
      </c>
      <c r="K16" s="16">
        <v>212455.29917849187</v>
      </c>
      <c r="L16" s="16">
        <v>91682.455189337765</v>
      </c>
      <c r="M16" s="16">
        <v>559.70414723692443</v>
      </c>
      <c r="N16" s="16">
        <v>385.92046636926364</v>
      </c>
      <c r="O16" s="16">
        <v>5182.9446608253566</v>
      </c>
      <c r="P16" s="16">
        <v>2599.3958930640601</v>
      </c>
      <c r="Q16" s="16">
        <v>61.956246946701256</v>
      </c>
      <c r="R16" s="16">
        <v>566.51829225748759</v>
      </c>
      <c r="S16" s="16">
        <v>7724.8626950813996</v>
      </c>
      <c r="T16" s="16">
        <v>531138.24794622965</v>
      </c>
      <c r="U16" s="16">
        <v>8267.509663985551</v>
      </c>
      <c r="V16" s="16">
        <v>493.70802460681756</v>
      </c>
    </row>
    <row r="17" spans="2:22" x14ac:dyDescent="0.3">
      <c r="B17" s="16">
        <v>0.65</v>
      </c>
      <c r="C17" s="16">
        <v>3185.6026611351294</v>
      </c>
      <c r="D17" s="16">
        <v>1047.8213709567915</v>
      </c>
      <c r="E17" s="16">
        <v>7544.4300571883768</v>
      </c>
      <c r="F17" s="16">
        <v>13641.822894306615</v>
      </c>
      <c r="G17" s="16">
        <v>1489.2754312594495</v>
      </c>
      <c r="H17" s="16">
        <v>4773.8608169536465</v>
      </c>
      <c r="I17" s="16">
        <v>9254.7297393386671</v>
      </c>
      <c r="J17" s="16">
        <v>83462.458846271998</v>
      </c>
      <c r="K17" s="16">
        <v>223900.81635317404</v>
      </c>
      <c r="L17" s="16">
        <v>96731.337537772473</v>
      </c>
      <c r="M17" s="16">
        <v>558.80042843647391</v>
      </c>
      <c r="N17" s="16">
        <v>385.05513966887571</v>
      </c>
      <c r="O17" s="16">
        <v>5155.8524344310554</v>
      </c>
      <c r="P17" s="16">
        <v>2589.5176745276844</v>
      </c>
      <c r="Q17" s="16">
        <v>61.744296137899276</v>
      </c>
      <c r="R17" s="16">
        <v>564.27229114193301</v>
      </c>
      <c r="S17" s="16">
        <v>7704.9506400740893</v>
      </c>
      <c r="T17" s="16">
        <v>559752.04088293505</v>
      </c>
      <c r="U17" s="16">
        <v>8225.9938968337719</v>
      </c>
      <c r="V17" s="16">
        <v>485.8547057348618</v>
      </c>
    </row>
    <row r="18" spans="2:22" x14ac:dyDescent="0.3">
      <c r="B18" s="16">
        <v>0.7</v>
      </c>
      <c r="C18" s="16">
        <v>3182.644455056779</v>
      </c>
      <c r="D18" s="16">
        <v>1051.7772748712823</v>
      </c>
      <c r="E18" s="16">
        <v>6475.6703599589018</v>
      </c>
      <c r="F18" s="16">
        <v>11722.797219174221</v>
      </c>
      <c r="G18" s="16">
        <v>1483.636101610301</v>
      </c>
      <c r="H18" s="16">
        <v>4719.2041314713424</v>
      </c>
      <c r="I18" s="16">
        <v>9157.0271064838616</v>
      </c>
      <c r="J18" s="16">
        <v>87728.994646362858</v>
      </c>
      <c r="K18" s="16">
        <v>235346.45145481778</v>
      </c>
      <c r="L18" s="16">
        <v>101792.88253725517</v>
      </c>
      <c r="M18" s="16">
        <v>557.90842568106086</v>
      </c>
      <c r="N18" s="16">
        <v>384.20177297981479</v>
      </c>
      <c r="O18" s="16">
        <v>5128.7892445000462</v>
      </c>
      <c r="P18" s="16">
        <v>2579.6219098471674</v>
      </c>
      <c r="Q18" s="16">
        <v>61.531695368638609</v>
      </c>
      <c r="R18" s="16">
        <v>562.0226668769842</v>
      </c>
      <c r="S18" s="16">
        <v>7685.1916116019038</v>
      </c>
      <c r="T18" s="16">
        <v>588366.12863704446</v>
      </c>
      <c r="U18" s="16">
        <v>8184.4559708224224</v>
      </c>
      <c r="V18" s="16">
        <v>478.07335750389097</v>
      </c>
    </row>
    <row r="19" spans="2:22" x14ac:dyDescent="0.3">
      <c r="B19" s="16">
        <v>0.75</v>
      </c>
      <c r="C19" s="16">
        <v>3179.6759917278887</v>
      </c>
      <c r="D19" s="16">
        <v>1055.7440776822809</v>
      </c>
      <c r="E19" s="16">
        <v>5403.9352110712753</v>
      </c>
      <c r="F19" s="16">
        <v>9794.0194828991152</v>
      </c>
      <c r="G19" s="16">
        <v>1477.9821483939998</v>
      </c>
      <c r="H19" s="16">
        <v>4664.1478209078205</v>
      </c>
      <c r="I19" s="16">
        <v>9059.5629791777956</v>
      </c>
      <c r="J19" s="16">
        <v>91995.574525781194</v>
      </c>
      <c r="K19" s="16">
        <v>246792.20480600206</v>
      </c>
      <c r="L19" s="16">
        <v>106867.21213527194</v>
      </c>
      <c r="M19" s="16">
        <v>557.02817377772647</v>
      </c>
      <c r="N19" s="16">
        <v>383.36038489629044</v>
      </c>
      <c r="O19" s="16">
        <v>5101.7552011120097</v>
      </c>
      <c r="P19" s="16">
        <v>2569.7085174588692</v>
      </c>
      <c r="Q19" s="16">
        <v>61.318442775395056</v>
      </c>
      <c r="R19" s="16">
        <v>559.76940898281782</v>
      </c>
      <c r="S19" s="16">
        <v>7665.5856936177961</v>
      </c>
      <c r="T19" s="16">
        <v>616980.51201500499</v>
      </c>
      <c r="U19" s="16">
        <v>8142.8961071638169</v>
      </c>
      <c r="V19" s="16">
        <v>470.36385339031426</v>
      </c>
    </row>
    <row r="20" spans="2:22" x14ac:dyDescent="0.3">
      <c r="B20" s="16">
        <v>0.8</v>
      </c>
      <c r="C20" s="16">
        <v>3176.6972121346889</v>
      </c>
      <c r="D20" s="16">
        <v>1059.721835024003</v>
      </c>
      <c r="E20" s="16">
        <v>4329.206793663554</v>
      </c>
      <c r="F20" s="16">
        <v>7855.3814543741792</v>
      </c>
      <c r="G20" s="16">
        <v>1472.3135513239968</v>
      </c>
      <c r="H20" s="16">
        <v>4608.6931025683307</v>
      </c>
      <c r="I20" s="16">
        <v>8962.3384882152895</v>
      </c>
      <c r="J20" s="16">
        <v>96262.198605157217</v>
      </c>
      <c r="K20" s="16">
        <v>258238.07673033568</v>
      </c>
      <c r="L20" s="16">
        <v>111954.45016030467</v>
      </c>
      <c r="M20" s="16">
        <v>556.15970793057159</v>
      </c>
      <c r="N20" s="16">
        <v>382.53099455459795</v>
      </c>
      <c r="O20" s="16">
        <v>5074.7504129403014</v>
      </c>
      <c r="P20" s="16">
        <v>2559.7774155320412</v>
      </c>
      <c r="Q20" s="16">
        <v>61.104536494338944</v>
      </c>
      <c r="R20" s="16">
        <v>557.51250723839519</v>
      </c>
      <c r="S20" s="16">
        <v>7646.1329692745476</v>
      </c>
      <c r="T20" s="16">
        <v>645595.19182583911</v>
      </c>
      <c r="U20" s="16">
        <v>8101.3145304905447</v>
      </c>
      <c r="V20" s="16">
        <v>462.72606501276692</v>
      </c>
    </row>
    <row r="21" spans="2:22" x14ac:dyDescent="0.3">
      <c r="B21" s="16">
        <v>0.85</v>
      </c>
      <c r="C21" s="16">
        <v>3173.7080391990989</v>
      </c>
      <c r="D21" s="16">
        <v>1063.7106287563015</v>
      </c>
      <c r="E21" s="16">
        <v>3251.4671250847132</v>
      </c>
      <c r="F21" s="16">
        <v>5906.7693275598585</v>
      </c>
      <c r="G21" s="16">
        <v>1466.6302822671662</v>
      </c>
      <c r="H21" s="16">
        <v>4552.8544882684373</v>
      </c>
      <c r="I21" s="16">
        <v>8865.3546420253879</v>
      </c>
      <c r="J21" s="16">
        <v>100528.87198471166</v>
      </c>
      <c r="K21" s="16">
        <v>269684.0809099414</v>
      </c>
      <c r="L21" s="16">
        <v>117054.72843049669</v>
      </c>
      <c r="M21" s="16">
        <v>555.30306362012982</v>
      </c>
      <c r="N21" s="16">
        <v>381.7136216422723</v>
      </c>
      <c r="O21" s="16">
        <v>5047.7749592625014</v>
      </c>
      <c r="P21" s="16">
        <v>2549.828507954579</v>
      </c>
      <c r="Q21" s="16">
        <v>60.889974324030334</v>
      </c>
      <c r="R21" s="16">
        <v>555.25194849347736</v>
      </c>
      <c r="S21" s="16">
        <v>7626.8334735707522</v>
      </c>
      <c r="T21" s="16">
        <v>674210.20227485348</v>
      </c>
      <c r="U21" s="16">
        <v>8059.7114209095162</v>
      </c>
      <c r="V21" s="16">
        <v>455.15985959402667</v>
      </c>
    </row>
    <row r="22" spans="2:22" x14ac:dyDescent="0.3">
      <c r="B22" s="16">
        <v>0.9</v>
      </c>
      <c r="C22" s="16">
        <v>3170.7084507537484</v>
      </c>
      <c r="D22" s="16">
        <v>1067.7104599818438</v>
      </c>
      <c r="E22" s="16">
        <v>2170.6980548234433</v>
      </c>
      <c r="F22" s="16">
        <v>3948.0789449175445</v>
      </c>
      <c r="G22" s="16">
        <v>1460.9323389927372</v>
      </c>
      <c r="H22" s="16">
        <v>4496.6051596002653</v>
      </c>
      <c r="I22" s="16">
        <v>8768.6128540601658</v>
      </c>
      <c r="J22" s="16">
        <v>104795.58407176075</v>
      </c>
      <c r="K22" s="16">
        <v>281130.18892832403</v>
      </c>
      <c r="L22" s="16">
        <v>122168.16161023772</v>
      </c>
      <c r="M22" s="16">
        <v>554.45827713942515</v>
      </c>
      <c r="N22" s="16">
        <v>380.90828640749658</v>
      </c>
      <c r="O22" s="16">
        <v>5020.8290061210819</v>
      </c>
      <c r="P22" s="16">
        <v>2539.8617432387591</v>
      </c>
      <c r="Q22" s="16">
        <v>60.674755126432515</v>
      </c>
      <c r="R22" s="16">
        <v>552.98772921246893</v>
      </c>
      <c r="S22" s="16">
        <v>7607.6873897981941</v>
      </c>
      <c r="T22" s="16">
        <v>702825.47232081008</v>
      </c>
      <c r="U22" s="16">
        <v>8018.0871133723513</v>
      </c>
      <c r="V22" s="16">
        <v>447.66511044438738</v>
      </c>
    </row>
    <row r="28" spans="2:22" x14ac:dyDescent="0.3">
      <c r="B28" s="17" t="s">
        <v>77</v>
      </c>
      <c r="C28" s="17" t="s">
        <v>118</v>
      </c>
      <c r="D28" s="17" t="s">
        <v>119</v>
      </c>
      <c r="E28" s="17" t="s">
        <v>120</v>
      </c>
      <c r="F28" s="17" t="s">
        <v>123</v>
      </c>
      <c r="G28" s="17" t="s">
        <v>125</v>
      </c>
      <c r="H28" s="17" t="s">
        <v>124</v>
      </c>
    </row>
    <row r="29" spans="2:22" x14ac:dyDescent="0.3">
      <c r="B29" s="16">
        <v>0.6</v>
      </c>
      <c r="C29" s="16">
        <v>0.85241852514485672</v>
      </c>
      <c r="D29" s="16">
        <v>5.8130549856946079</v>
      </c>
      <c r="E29" s="16">
        <v>0.17202658541178567</v>
      </c>
      <c r="F29" s="16">
        <v>1.4735880962343805E-2</v>
      </c>
      <c r="G29" s="16">
        <v>0.85346562554606398</v>
      </c>
      <c r="H29" s="16">
        <v>14.758147485514328</v>
      </c>
      <c r="I29" s="16">
        <v>0.15173117982685616</v>
      </c>
      <c r="J29" s="16">
        <v>0.58955377684907817</v>
      </c>
      <c r="K29" s="16">
        <v>3.865617742874497E-2</v>
      </c>
      <c r="L29" s="16">
        <v>452752.08196234831</v>
      </c>
    </row>
    <row r="30" spans="2:22" x14ac:dyDescent="0.3">
      <c r="B30" s="16">
        <v>0.65</v>
      </c>
      <c r="C30" s="16">
        <v>0.84015476168306036</v>
      </c>
      <c r="D30" s="16">
        <v>5.2851664019243279</v>
      </c>
      <c r="E30" s="16">
        <v>0.18920880137963117</v>
      </c>
      <c r="F30" s="16">
        <v>1.4256080607525746E-2</v>
      </c>
      <c r="G30" s="16">
        <v>0.82716776809848613</v>
      </c>
      <c r="H30" s="16">
        <v>15.984523831693965</v>
      </c>
      <c r="I30" s="16">
        <v>0.13942769502613755</v>
      </c>
      <c r="J30" s="16">
        <v>0.57264323209749335</v>
      </c>
      <c r="K30" s="16">
        <v>3.6160987552076175E-2</v>
      </c>
      <c r="L30" s="16">
        <v>470278.34250960895</v>
      </c>
    </row>
    <row r="31" spans="2:22" x14ac:dyDescent="0.3">
      <c r="B31" s="16">
        <v>0.7</v>
      </c>
      <c r="C31" s="16">
        <v>0.82908377087366503</v>
      </c>
      <c r="D31" s="16">
        <v>4.8743325940926692</v>
      </c>
      <c r="E31" s="16">
        <v>0.20515629179919442</v>
      </c>
      <c r="F31" s="16">
        <v>1.3874309125541892E-2</v>
      </c>
      <c r="G31" s="16">
        <v>0.80624287317095111</v>
      </c>
      <c r="H31" s="16">
        <v>17.091622912633508</v>
      </c>
      <c r="I31" s="16">
        <v>0.12993056596602254</v>
      </c>
      <c r="J31" s="16">
        <v>0.55935741234628522</v>
      </c>
      <c r="K31" s="16">
        <v>3.4227935730937228E-2</v>
      </c>
      <c r="L31" s="16">
        <v>487804.80858474062</v>
      </c>
    </row>
    <row r="32" spans="2:22" x14ac:dyDescent="0.3">
      <c r="B32" s="16">
        <v>0.75</v>
      </c>
      <c r="C32" s="16">
        <v>0.81903961513846057</v>
      </c>
      <c r="D32" s="16">
        <v>4.5455060090005324</v>
      </c>
      <c r="E32" s="16">
        <v>0.2199975091925751</v>
      </c>
      <c r="F32" s="16">
        <v>1.356335617041266E-2</v>
      </c>
      <c r="G32" s="16">
        <v>0.78919954170031792</v>
      </c>
      <c r="H32" s="16">
        <v>18.096038486153944</v>
      </c>
      <c r="I32" s="16">
        <v>0.12246041814928492</v>
      </c>
      <c r="J32" s="16">
        <v>0.54906778297915715</v>
      </c>
      <c r="K32" s="16">
        <v>3.2760901155504313E-2</v>
      </c>
      <c r="L32" s="16">
        <v>505331.48110870004</v>
      </c>
    </row>
    <row r="33" spans="2:12" x14ac:dyDescent="0.3">
      <c r="B33" s="16">
        <v>0.8</v>
      </c>
      <c r="C33" s="16">
        <v>0.80988577304740417</v>
      </c>
      <c r="D33" s="16">
        <v>4.2763609314884485</v>
      </c>
      <c r="E33" s="16">
        <v>0.23384368532520844</v>
      </c>
      <c r="F33" s="16">
        <v>1.3305183426066024E-2</v>
      </c>
      <c r="G33" s="16">
        <v>0.77504909358267882</v>
      </c>
      <c r="H33" s="16">
        <v>19.011422695259583</v>
      </c>
      <c r="I33" s="16">
        <v>0.11660316652751009</v>
      </c>
      <c r="J33" s="16">
        <v>0.5418333576800487</v>
      </c>
      <c r="K33" s="16">
        <v>3.1771604947176943E-2</v>
      </c>
      <c r="L33" s="16">
        <v>522858.3610075569</v>
      </c>
    </row>
    <row r="34" spans="2:12" x14ac:dyDescent="0.3">
      <c r="B34" s="16">
        <v>0.85</v>
      </c>
      <c r="C34" s="16">
        <v>0.80150890776314676</v>
      </c>
      <c r="D34" s="16">
        <v>4.052001643499775</v>
      </c>
      <c r="E34" s="16">
        <v>0.2467916076994196</v>
      </c>
      <c r="F34" s="16">
        <v>1.3087420737113054E-2</v>
      </c>
      <c r="G34" s="16">
        <v>0.76311352060116655</v>
      </c>
      <c r="H34" s="16">
        <v>19.849109223685335</v>
      </c>
      <c r="I34" s="16">
        <v>0.11239929916164836</v>
      </c>
      <c r="J34" s="16">
        <v>0.53955387406135258</v>
      </c>
      <c r="K34" s="16">
        <v>3.1562837809111115E-2</v>
      </c>
      <c r="L34" s="16">
        <v>540385.48282808799</v>
      </c>
    </row>
    <row r="35" spans="2:12" x14ac:dyDescent="0.3">
      <c r="B35" s="16">
        <v>0.9</v>
      </c>
      <c r="C35" s="16">
        <v>0.79381410769244976</v>
      </c>
      <c r="D35" s="16">
        <v>3.862108054159032</v>
      </c>
      <c r="E35" s="16">
        <v>0.25892595079599562</v>
      </c>
      <c r="F35" s="16">
        <v>1.2901282569797499E-2</v>
      </c>
      <c r="G35" s="16">
        <v>0.752911287650601</v>
      </c>
      <c r="H35" s="16">
        <v>20.618589230755024</v>
      </c>
      <c r="I35" s="16">
        <v>0.11260236824715117</v>
      </c>
      <c r="J35" s="16">
        <v>0.55968680254367753</v>
      </c>
      <c r="K35" s="16">
        <v>3.4903154152639004E-2</v>
      </c>
      <c r="L35" s="16">
        <v>557912.7751738684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48A7-EAA7-4F28-BBF6-02D6EA60B99E}">
  <dimension ref="B2:V35"/>
  <sheetViews>
    <sheetView topLeftCell="A17" workbookViewId="0">
      <selection activeCell="B29" sqref="B29:L35"/>
    </sheetView>
  </sheetViews>
  <sheetFormatPr defaultColWidth="11.5546875" defaultRowHeight="14.4" x14ac:dyDescent="0.3"/>
  <cols>
    <col min="1" max="16384" width="11.5546875" style="16"/>
  </cols>
  <sheetData>
    <row r="2" spans="2:22" x14ac:dyDescent="0.3">
      <c r="B2" s="17" t="s">
        <v>241</v>
      </c>
      <c r="C2" s="17" t="s">
        <v>90</v>
      </c>
      <c r="D2" s="17" t="s">
        <v>97</v>
      </c>
      <c r="E2" s="17" t="s">
        <v>91</v>
      </c>
      <c r="F2" s="17" t="s">
        <v>1</v>
      </c>
      <c r="G2" s="17" t="s">
        <v>2</v>
      </c>
      <c r="H2" s="17" t="s">
        <v>3</v>
      </c>
      <c r="I2" s="17" t="s">
        <v>4</v>
      </c>
      <c r="J2" s="17" t="s">
        <v>5</v>
      </c>
      <c r="K2" s="17" t="s">
        <v>6</v>
      </c>
      <c r="L2" s="17" t="s">
        <v>7</v>
      </c>
    </row>
    <row r="3" spans="2:22" x14ac:dyDescent="0.3">
      <c r="B3" s="16">
        <v>0.6</v>
      </c>
      <c r="C3" s="16">
        <v>133.34794298488188</v>
      </c>
      <c r="D3" s="16">
        <v>11.29292774728205</v>
      </c>
      <c r="E3" s="16">
        <v>50.823539082667992</v>
      </c>
      <c r="F3" s="16">
        <v>17.870345466257085</v>
      </c>
      <c r="G3" s="16">
        <v>47.189043554162183</v>
      </c>
      <c r="H3" s="16">
        <v>15.503845999051238</v>
      </c>
      <c r="I3" s="16">
        <v>15.165716752010718</v>
      </c>
      <c r="J3" s="16">
        <v>96.950596455769869</v>
      </c>
      <c r="K3" s="16">
        <v>52.664397678347513</v>
      </c>
      <c r="L3" s="16">
        <v>470.64501369465466</v>
      </c>
    </row>
    <row r="4" spans="2:22" x14ac:dyDescent="0.3">
      <c r="B4" s="16">
        <v>0.65</v>
      </c>
      <c r="C4" s="16">
        <v>139.35001364631847</v>
      </c>
      <c r="D4" s="16">
        <v>10.870846467724363</v>
      </c>
      <c r="E4" s="16">
        <v>52.652796939894571</v>
      </c>
      <c r="F4" s="16">
        <v>18.629509900778704</v>
      </c>
      <c r="G4" s="16">
        <v>49.192453495733503</v>
      </c>
      <c r="H4" s="16">
        <v>15.700731352257428</v>
      </c>
      <c r="I4" s="16">
        <v>15.358410719491728</v>
      </c>
      <c r="J4" s="16">
        <v>96.116205587263778</v>
      </c>
      <c r="K4" s="16">
        <v>51.33999443789137</v>
      </c>
      <c r="L4" s="16">
        <v>458.80924211612592</v>
      </c>
    </row>
    <row r="5" spans="2:22" x14ac:dyDescent="0.3">
      <c r="B5" s="16">
        <v>0.7</v>
      </c>
      <c r="C5" s="16">
        <v>144.50778451002469</v>
      </c>
      <c r="D5" s="16">
        <v>10.508773395562514</v>
      </c>
      <c r="E5" s="16">
        <v>54.189868544562223</v>
      </c>
      <c r="F5" s="16">
        <v>19.267922060750973</v>
      </c>
      <c r="G5" s="16">
        <v>50.87719766886547</v>
      </c>
      <c r="H5" s="16">
        <v>15.882502680877492</v>
      </c>
      <c r="I5" s="16">
        <v>15.536374651829526</v>
      </c>
      <c r="J5" s="16">
        <v>95.462145694242906</v>
      </c>
      <c r="K5" s="16">
        <v>50.205001391427629</v>
      </c>
      <c r="L5" s="16">
        <v>448.66616934884934</v>
      </c>
    </row>
    <row r="6" spans="2:22" x14ac:dyDescent="0.3">
      <c r="B6" s="16">
        <v>0.75</v>
      </c>
      <c r="C6" s="16">
        <v>148.98830428330427</v>
      </c>
      <c r="D6" s="16">
        <v>10.194944995870282</v>
      </c>
      <c r="E6" s="16">
        <v>55.498435381598455</v>
      </c>
      <c r="F6" s="16">
        <v>19.81180204410261</v>
      </c>
      <c r="G6" s="16">
        <v>52.312471436053684</v>
      </c>
      <c r="H6" s="16">
        <v>16.050355602044668</v>
      </c>
      <c r="I6" s="16">
        <v>15.700758934164485</v>
      </c>
      <c r="J6" s="16">
        <v>94.941506578418796</v>
      </c>
      <c r="K6" s="16">
        <v>49.220982258302961</v>
      </c>
      <c r="L6" s="16">
        <v>439.87230254695726</v>
      </c>
    </row>
    <row r="7" spans="2:22" x14ac:dyDescent="0.3">
      <c r="B7" s="16">
        <v>0.8</v>
      </c>
      <c r="C7" s="16">
        <v>152.91702895935859</v>
      </c>
      <c r="D7" s="16">
        <v>9.9204462192650738</v>
      </c>
      <c r="E7" s="16">
        <v>56.625070933225054</v>
      </c>
      <c r="F7" s="16">
        <v>20.280351456301347</v>
      </c>
      <c r="G7" s="16">
        <v>53.54894818668847</v>
      </c>
      <c r="H7" s="16">
        <v>16.205516117198815</v>
      </c>
      <c r="I7" s="16">
        <v>15.852749821890747</v>
      </c>
      <c r="J7" s="16">
        <v>94.521546465530378</v>
      </c>
      <c r="K7" s="16">
        <v>48.359332504530663</v>
      </c>
      <c r="L7" s="16">
        <v>432.17201206531212</v>
      </c>
    </row>
    <row r="8" spans="2:22" x14ac:dyDescent="0.3">
      <c r="B8" s="16">
        <v>0.85</v>
      </c>
      <c r="C8" s="16">
        <v>156.39008660616491</v>
      </c>
      <c r="D8" s="16">
        <v>9.6784061384906455</v>
      </c>
      <c r="E8" s="16">
        <v>57.60460459271345</v>
      </c>
      <c r="F8" s="16">
        <v>20.687946016617072</v>
      </c>
      <c r="G8" s="16">
        <v>54.624565674613201</v>
      </c>
      <c r="H8" s="16">
        <v>16.349160892882711</v>
      </c>
      <c r="I8" s="16">
        <v>15.993489361004398</v>
      </c>
      <c r="J8" s="16">
        <v>94.178874289249165</v>
      </c>
      <c r="K8" s="16">
        <v>47.598304757676615</v>
      </c>
      <c r="L8" s="16">
        <v>425.37094853606186</v>
      </c>
    </row>
    <row r="9" spans="2:22" x14ac:dyDescent="0.3">
      <c r="B9" s="16">
        <v>0.9</v>
      </c>
      <c r="C9" s="16">
        <v>159.48242028325518</v>
      </c>
      <c r="D9" s="16">
        <v>9.4634494051425264</v>
      </c>
      <c r="E9" s="16">
        <v>58.463588950387766</v>
      </c>
      <c r="F9" s="16">
        <v>21.04555561288613</v>
      </c>
      <c r="G9" s="16">
        <v>55.568273578857628</v>
      </c>
      <c r="H9" s="16">
        <v>16.482381431698961</v>
      </c>
      <c r="I9" s="16">
        <v>16.124039019017342</v>
      </c>
      <c r="J9" s="16">
        <v>93.89643459040991</v>
      </c>
      <c r="K9" s="16">
        <v>46.921057458241748</v>
      </c>
      <c r="L9" s="16">
        <v>419.31860428513284</v>
      </c>
    </row>
    <row r="15" spans="2:22" x14ac:dyDescent="0.3">
      <c r="B15" s="17" t="s">
        <v>241</v>
      </c>
      <c r="C15" s="17" t="s">
        <v>8</v>
      </c>
      <c r="D15" s="17" t="s">
        <v>9</v>
      </c>
      <c r="E15" s="17" t="s">
        <v>10</v>
      </c>
      <c r="F15" s="17" t="s">
        <v>11</v>
      </c>
      <c r="G15" s="17" t="s">
        <v>92</v>
      </c>
      <c r="H15" s="17" t="s">
        <v>12</v>
      </c>
      <c r="I15" s="17" t="s">
        <v>13</v>
      </c>
      <c r="J15" s="17" t="s">
        <v>93</v>
      </c>
      <c r="K15" s="17" t="s">
        <v>14</v>
      </c>
      <c r="L15" s="17" t="s">
        <v>94</v>
      </c>
      <c r="M15" s="17" t="s">
        <v>15</v>
      </c>
      <c r="N15" s="17" t="s">
        <v>16</v>
      </c>
      <c r="O15" s="17" t="s">
        <v>17</v>
      </c>
      <c r="P15" s="17" t="s">
        <v>18</v>
      </c>
      <c r="Q15" s="17" t="s">
        <v>95</v>
      </c>
      <c r="R15" s="17" t="s">
        <v>19</v>
      </c>
      <c r="S15" s="17" t="s">
        <v>96</v>
      </c>
      <c r="T15" s="17" t="s">
        <v>20</v>
      </c>
      <c r="U15" s="17" t="s">
        <v>121</v>
      </c>
      <c r="V15" s="17" t="s">
        <v>21</v>
      </c>
    </row>
    <row r="16" spans="2:22" x14ac:dyDescent="0.3">
      <c r="B16" s="16">
        <v>0.6</v>
      </c>
      <c r="C16" s="16">
        <v>17223.530390651405</v>
      </c>
      <c r="D16" s="16">
        <v>5103.7799140514026</v>
      </c>
      <c r="E16" s="16">
        <v>1542.4567100955248</v>
      </c>
      <c r="F16" s="16">
        <v>2807.373846715212</v>
      </c>
      <c r="G16" s="16">
        <v>1664.7034737094584</v>
      </c>
      <c r="H16" s="16">
        <v>1104.7199639895116</v>
      </c>
      <c r="I16" s="16">
        <v>9283.7734881358447</v>
      </c>
      <c r="J16" s="16">
        <v>103269.46782608512</v>
      </c>
      <c r="K16" s="16">
        <v>277036.14858994889</v>
      </c>
      <c r="L16" s="16">
        <v>120250.45822234853</v>
      </c>
      <c r="M16" s="16">
        <v>6.2485536870211744</v>
      </c>
      <c r="N16" s="16">
        <v>4.2509494476148886</v>
      </c>
      <c r="O16" s="16">
        <v>6093.0916069702953</v>
      </c>
      <c r="P16" s="16">
        <v>2903.6773280167959</v>
      </c>
      <c r="Q16" s="16">
        <v>68.217739946875895</v>
      </c>
      <c r="R16" s="16">
        <v>636.22254790976308</v>
      </c>
      <c r="S16" s="16">
        <v>9425.1569383103433</v>
      </c>
      <c r="T16" s="16">
        <v>692590.37147487211</v>
      </c>
      <c r="U16" s="16">
        <v>9575.8876491927022</v>
      </c>
      <c r="V16" s="16">
        <v>815.03996781423018</v>
      </c>
    </row>
    <row r="17" spans="2:22" x14ac:dyDescent="0.3">
      <c r="B17" s="16">
        <v>0.65</v>
      </c>
      <c r="C17" s="16">
        <v>13889.07170678319</v>
      </c>
      <c r="D17" s="16">
        <v>4246.1216538053413</v>
      </c>
      <c r="E17" s="16">
        <v>1542.4567100955248</v>
      </c>
      <c r="F17" s="16">
        <v>2807.373846715212</v>
      </c>
      <c r="G17" s="16">
        <v>1617.4571038473882</v>
      </c>
      <c r="H17" s="16">
        <v>1791.6358617457445</v>
      </c>
      <c r="I17" s="16">
        <v>9173.6007419972721</v>
      </c>
      <c r="J17" s="16">
        <v>104168.42351101463</v>
      </c>
      <c r="K17" s="16">
        <v>279447.73476298235</v>
      </c>
      <c r="L17" s="16">
        <v>121347.12487858563</v>
      </c>
      <c r="M17" s="16">
        <v>6.1139985977899594</v>
      </c>
      <c r="N17" s="16">
        <v>4.1246023647080197</v>
      </c>
      <c r="O17" s="16">
        <v>5829.1762754868196</v>
      </c>
      <c r="P17" s="16">
        <v>2817.8479749916446</v>
      </c>
      <c r="Q17" s="16">
        <v>66.480891156226164</v>
      </c>
      <c r="R17" s="16">
        <v>616.5594824618322</v>
      </c>
      <c r="S17" s="16">
        <v>9179.4853643105471</v>
      </c>
      <c r="T17" s="16">
        <v>698619.33690745581</v>
      </c>
      <c r="U17" s="16">
        <v>9196.8997950678531</v>
      </c>
      <c r="V17" s="16">
        <v>714.61349609765091</v>
      </c>
    </row>
    <row r="18" spans="2:22" x14ac:dyDescent="0.3">
      <c r="B18" s="16">
        <v>0.7</v>
      </c>
      <c r="C18" s="16">
        <v>11038.113043195457</v>
      </c>
      <c r="D18" s="16">
        <v>3465.8458866495639</v>
      </c>
      <c r="E18" s="16">
        <v>1542.4567100955248</v>
      </c>
      <c r="F18" s="16">
        <v>2807.373846715212</v>
      </c>
      <c r="G18" s="16">
        <v>1576.1265620255674</v>
      </c>
      <c r="H18" s="16">
        <v>2430.7471421233495</v>
      </c>
      <c r="I18" s="16">
        <v>9066.7993777505453</v>
      </c>
      <c r="J18" s="16">
        <v>104959.96261811555</v>
      </c>
      <c r="K18" s="16">
        <v>281571.15953029942</v>
      </c>
      <c r="L18" s="16">
        <v>122313.69926104051</v>
      </c>
      <c r="M18" s="16">
        <v>6.0091698841287293</v>
      </c>
      <c r="N18" s="16">
        <v>4.0267651386649792</v>
      </c>
      <c r="O18" s="16">
        <v>5606.3403100045025</v>
      </c>
      <c r="P18" s="16">
        <v>2743.5671131508311</v>
      </c>
      <c r="Q18" s="16">
        <v>64.955347215322192</v>
      </c>
      <c r="R18" s="16">
        <v>599.55268836504126</v>
      </c>
      <c r="S18" s="16">
        <v>8984.6758004859348</v>
      </c>
      <c r="T18" s="16">
        <v>703927.89882574859</v>
      </c>
      <c r="U18" s="16">
        <v>8871.7674451347448</v>
      </c>
      <c r="V18" s="16">
        <v>634.93527696956335</v>
      </c>
    </row>
    <row r="19" spans="2:22" x14ac:dyDescent="0.3">
      <c r="B19" s="16">
        <v>0.75</v>
      </c>
      <c r="C19" s="16">
        <v>8573.5098078967039</v>
      </c>
      <c r="D19" s="16">
        <v>2754.6230259247086</v>
      </c>
      <c r="E19" s="16">
        <v>1542.4567100955248</v>
      </c>
      <c r="F19" s="16">
        <v>2807.373846715212</v>
      </c>
      <c r="G19" s="16">
        <v>1539.7051248627733</v>
      </c>
      <c r="H19" s="16">
        <v>3023.7047411040985</v>
      </c>
      <c r="I19" s="16">
        <v>8965.1619450556045</v>
      </c>
      <c r="J19" s="16">
        <v>105662.76220008062</v>
      </c>
      <c r="K19" s="16">
        <v>283456.52694350353</v>
      </c>
      <c r="L19" s="16">
        <v>123172.65806338149</v>
      </c>
      <c r="M19" s="16">
        <v>5.9261344867245338</v>
      </c>
      <c r="N19" s="16">
        <v>3.9496447193692417</v>
      </c>
      <c r="O19" s="16">
        <v>5415.833424784003</v>
      </c>
      <c r="P19" s="16">
        <v>2678.666539682963</v>
      </c>
      <c r="Q19" s="16">
        <v>63.606264568035435</v>
      </c>
      <c r="R19" s="16">
        <v>584.7046159803092</v>
      </c>
      <c r="S19" s="16">
        <v>8827.6715982668629</v>
      </c>
      <c r="T19" s="16">
        <v>708641.31735875877</v>
      </c>
      <c r="U19" s="16">
        <v>8589.9733514149102</v>
      </c>
      <c r="V19" s="16">
        <v>570.52947461212136</v>
      </c>
    </row>
    <row r="20" spans="2:22" x14ac:dyDescent="0.3">
      <c r="B20" s="16">
        <v>0.8</v>
      </c>
      <c r="C20" s="16">
        <v>6422.209445343934</v>
      </c>
      <c r="D20" s="16">
        <v>2104.9796883973145</v>
      </c>
      <c r="E20" s="16">
        <v>1542.4567100955248</v>
      </c>
      <c r="F20" s="16">
        <v>2807.373846715212</v>
      </c>
      <c r="G20" s="16">
        <v>1507.3930697774049</v>
      </c>
      <c r="H20" s="16">
        <v>3573.3140356715885</v>
      </c>
      <c r="I20" s="16">
        <v>8869.4633253153861</v>
      </c>
      <c r="J20" s="16">
        <v>106291.27448128449</v>
      </c>
      <c r="K20" s="16">
        <v>285142.60730579839</v>
      </c>
      <c r="L20" s="16">
        <v>123941.42024869514</v>
      </c>
      <c r="M20" s="16">
        <v>5.8594225452478934</v>
      </c>
      <c r="N20" s="16">
        <v>3.8879295495433666</v>
      </c>
      <c r="O20" s="16">
        <v>5251.1924673540425</v>
      </c>
      <c r="P20" s="16">
        <v>2621.486912539684</v>
      </c>
      <c r="Q20" s="16">
        <v>62.405700879869343</v>
      </c>
      <c r="R20" s="16">
        <v>571.63339543794234</v>
      </c>
      <c r="S20" s="16">
        <v>8699.3668967628055</v>
      </c>
      <c r="T20" s="16">
        <v>712856.518264496</v>
      </c>
      <c r="U20" s="16">
        <v>8343.5305619193114</v>
      </c>
      <c r="V20" s="16">
        <v>517.62545631113949</v>
      </c>
    </row>
    <row r="21" spans="2:22" x14ac:dyDescent="0.3">
      <c r="B21" s="16">
        <v>0.85</v>
      </c>
      <c r="C21" s="16">
        <v>4528.3030015852082</v>
      </c>
      <c r="D21" s="16">
        <v>1510.2579346330949</v>
      </c>
      <c r="E21" s="16">
        <v>1542.4567100955248</v>
      </c>
      <c r="F21" s="16">
        <v>2807.373846715212</v>
      </c>
      <c r="G21" s="16">
        <v>1478.5496147774384</v>
      </c>
      <c r="H21" s="16">
        <v>4082.8254225992714</v>
      </c>
      <c r="I21" s="16">
        <v>8779.9064915337567</v>
      </c>
      <c r="J21" s="16">
        <v>106856.89298365323</v>
      </c>
      <c r="K21" s="16">
        <v>286659.96548306081</v>
      </c>
      <c r="L21" s="16">
        <v>124633.73733801451</v>
      </c>
      <c r="M21" s="16">
        <v>5.8051653963669905</v>
      </c>
      <c r="N21" s="16">
        <v>3.8378987309076815</v>
      </c>
      <c r="O21" s="16">
        <v>5107.548709889993</v>
      </c>
      <c r="P21" s="16">
        <v>2570.736673048893</v>
      </c>
      <c r="Q21" s="16">
        <v>61.331088748034034</v>
      </c>
      <c r="R21" s="16">
        <v>560.04131441443894</v>
      </c>
      <c r="S21" s="16">
        <v>8593.2487974830983</v>
      </c>
      <c r="T21" s="16">
        <v>716649.91370765201</v>
      </c>
      <c r="U21" s="16">
        <v>8126.2741391992404</v>
      </c>
      <c r="V21" s="16">
        <v>473.55751635338527</v>
      </c>
    </row>
    <row r="22" spans="2:22" x14ac:dyDescent="0.3">
      <c r="B22" s="16">
        <v>0.9</v>
      </c>
      <c r="C22" s="16">
        <v>2848.3263976414578</v>
      </c>
      <c r="D22" s="16">
        <v>964.55767849983272</v>
      </c>
      <c r="E22" s="16">
        <v>1542.4567100955248</v>
      </c>
      <c r="F22" s="16">
        <v>2807.373846715212</v>
      </c>
      <c r="G22" s="16">
        <v>1452.6568297515009</v>
      </c>
      <c r="H22" s="16">
        <v>4555.56180201401</v>
      </c>
      <c r="I22" s="16">
        <v>8696.3788936835081</v>
      </c>
      <c r="J22" s="16">
        <v>107368.74274104465</v>
      </c>
      <c r="K22" s="16">
        <v>288033.08077482571</v>
      </c>
      <c r="L22" s="16">
        <v>125260.63692308396</v>
      </c>
      <c r="M22" s="16">
        <v>5.760565671615657</v>
      </c>
      <c r="N22" s="16">
        <v>3.7968831806835492</v>
      </c>
      <c r="O22" s="16">
        <v>4981.1698983017413</v>
      </c>
      <c r="P22" s="16">
        <v>2525.3956451508438</v>
      </c>
      <c r="Q22" s="16">
        <v>60.364063604110385</v>
      </c>
      <c r="R22" s="16">
        <v>549.69302590922791</v>
      </c>
      <c r="S22" s="16">
        <v>8504.5558296246054</v>
      </c>
      <c r="T22" s="16">
        <v>720082.70193706418</v>
      </c>
      <c r="U22" s="16">
        <v>7933.375711818293</v>
      </c>
      <c r="V22" s="16">
        <v>436.39717314265835</v>
      </c>
    </row>
    <row r="28" spans="2:22" x14ac:dyDescent="0.3">
      <c r="B28" s="17" t="s">
        <v>241</v>
      </c>
      <c r="C28" s="17" t="s">
        <v>118</v>
      </c>
      <c r="D28" s="17" t="s">
        <v>119</v>
      </c>
      <c r="E28" s="17" t="s">
        <v>120</v>
      </c>
      <c r="F28" s="17" t="s">
        <v>123</v>
      </c>
      <c r="G28" s="17" t="s">
        <v>125</v>
      </c>
      <c r="H28" s="17" t="s">
        <v>124</v>
      </c>
    </row>
    <row r="29" spans="2:22" x14ac:dyDescent="0.3">
      <c r="B29" s="16">
        <v>0.6</v>
      </c>
      <c r="C29" s="16">
        <v>0.82010837737991815</v>
      </c>
      <c r="D29" s="16">
        <v>4.5892138958838418</v>
      </c>
      <c r="E29" s="16">
        <v>0.21790224266881963</v>
      </c>
      <c r="F29" s="16">
        <v>1.2816957885473839E-2</v>
      </c>
      <c r="G29" s="16">
        <v>0.74828945170282113</v>
      </c>
      <c r="H29" s="16">
        <v>17.989162262008172</v>
      </c>
      <c r="I29" s="16">
        <v>0.39277195256478425</v>
      </c>
      <c r="J29" s="16">
        <v>2.1795612919769543</v>
      </c>
      <c r="K29" s="16">
        <v>0.27694286363008547</v>
      </c>
      <c r="L29" s="16">
        <v>567999.16573921219</v>
      </c>
    </row>
    <row r="30" spans="2:22" x14ac:dyDescent="0.3">
      <c r="B30" s="16">
        <v>0.65</v>
      </c>
      <c r="C30" s="16">
        <v>0.8126710200654208</v>
      </c>
      <c r="D30" s="16">
        <v>4.3622780437796251</v>
      </c>
      <c r="E30" s="16">
        <v>0.22923802425339357</v>
      </c>
      <c r="F30" s="16">
        <v>1.2728149016334204E-2</v>
      </c>
      <c r="G30" s="16">
        <v>0.7434218375852778</v>
      </c>
      <c r="H30" s="16">
        <v>18.732897993457918</v>
      </c>
      <c r="I30" s="16">
        <v>0.37430369381755624</v>
      </c>
      <c r="J30" s="16">
        <v>2.0816745948771174</v>
      </c>
      <c r="K30" s="16">
        <v>0.26610389176083016</v>
      </c>
      <c r="L30" s="16">
        <v>567747.68916200998</v>
      </c>
    </row>
    <row r="31" spans="2:22" x14ac:dyDescent="0.3">
      <c r="B31" s="16">
        <v>0.7</v>
      </c>
      <c r="C31" s="16">
        <v>0.8064081272589364</v>
      </c>
      <c r="D31" s="16">
        <v>4.1852366057759864</v>
      </c>
      <c r="E31" s="16">
        <v>0.23893511746024443</v>
      </c>
      <c r="F31" s="16">
        <v>1.2659564072005773E-2</v>
      </c>
      <c r="G31" s="16">
        <v>0.73966269678663643</v>
      </c>
      <c r="H31" s="16">
        <v>19.359187274106372</v>
      </c>
      <c r="I31" s="16">
        <v>0.35986734789658548</v>
      </c>
      <c r="J31" s="16">
        <v>2.0022469880054845</v>
      </c>
      <c r="K31" s="16">
        <v>0.25746458694793295</v>
      </c>
      <c r="L31" s="16">
        <v>567653.17861738987</v>
      </c>
    </row>
    <row r="32" spans="2:22" x14ac:dyDescent="0.3">
      <c r="B32" s="16">
        <v>0.75</v>
      </c>
      <c r="C32" s="16">
        <v>0.80106649171732347</v>
      </c>
      <c r="D32" s="16">
        <v>4.0433802535180154</v>
      </c>
      <c r="E32" s="16">
        <v>0.24731782253967632</v>
      </c>
      <c r="F32" s="16">
        <v>1.2605124026752883E-2</v>
      </c>
      <c r="G32" s="16">
        <v>0.7366788379063256</v>
      </c>
      <c r="H32" s="16">
        <v>19.893350828267664</v>
      </c>
      <c r="I32" s="16">
        <v>0.34830159757646667</v>
      </c>
      <c r="J32" s="16">
        <v>1.9365725544212677</v>
      </c>
      <c r="K32" s="16">
        <v>0.2504416957185735</v>
      </c>
      <c r="L32" s="16">
        <v>567668.81398252328</v>
      </c>
    </row>
    <row r="33" spans="2:12" x14ac:dyDescent="0.3">
      <c r="B33" s="16">
        <v>0.8</v>
      </c>
      <c r="C33" s="16">
        <v>0.79646021449918547</v>
      </c>
      <c r="D33" s="16">
        <v>3.9272505519213565</v>
      </c>
      <c r="E33" s="16">
        <v>0.25463106740433533</v>
      </c>
      <c r="F33" s="16">
        <v>1.256092085749282E-2</v>
      </c>
      <c r="G33" s="16">
        <v>0.73425606219918149</v>
      </c>
      <c r="H33" s="16">
        <v>20.353978550081454</v>
      </c>
      <c r="I33" s="16">
        <v>0.33888996356461915</v>
      </c>
      <c r="J33" s="16">
        <v>1.8816431996129253</v>
      </c>
      <c r="K33" s="16">
        <v>0.24467505864683292</v>
      </c>
      <c r="L33" s="16">
        <v>567761.85544408299</v>
      </c>
    </row>
    <row r="34" spans="2:12" x14ac:dyDescent="0.3">
      <c r="B34" s="16">
        <v>0.85</v>
      </c>
      <c r="C34" s="16">
        <v>0.79244981650168778</v>
      </c>
      <c r="D34" s="16">
        <v>3.8304905468390742</v>
      </c>
      <c r="E34" s="16">
        <v>0.26106316874354418</v>
      </c>
      <c r="F34" s="16">
        <v>1.2524338436629916E-2</v>
      </c>
      <c r="G34" s="16">
        <v>0.73225097971168573</v>
      </c>
      <c r="H34" s="16">
        <v>20.755018349831232</v>
      </c>
      <c r="I34" s="16">
        <v>0.33128127708956262</v>
      </c>
      <c r="J34" s="16">
        <v>1.8360763962093123</v>
      </c>
      <c r="K34" s="16">
        <v>0.24003385181240608</v>
      </c>
      <c r="L34" s="16">
        <v>567909.09261357912</v>
      </c>
    </row>
    <row r="35" spans="2:12" x14ac:dyDescent="0.3">
      <c r="B35" s="16">
        <v>0.9</v>
      </c>
      <c r="C35" s="16">
        <v>0.78892866429426911</v>
      </c>
      <c r="D35" s="16">
        <v>3.7486711152031096</v>
      </c>
      <c r="E35" s="16">
        <v>0.26676119864033959</v>
      </c>
      <c r="F35" s="16">
        <v>1.2493575624894261E-2</v>
      </c>
      <c r="G35" s="16">
        <v>0.73056487000045445</v>
      </c>
      <c r="H35" s="16">
        <v>21.107133570573101</v>
      </c>
      <c r="I35" s="16">
        <v>0.3268682465053947</v>
      </c>
      <c r="J35" s="16">
        <v>1.8080333560987463</v>
      </c>
      <c r="K35" s="16">
        <v>0.23790846143761119</v>
      </c>
      <c r="L35" s="16">
        <v>568093.88422061631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1C93-8228-4E85-B9E3-FB80BE715EB6}">
  <dimension ref="B2:Y44"/>
  <sheetViews>
    <sheetView topLeftCell="K1" zoomScale="86" zoomScaleNormal="55" workbookViewId="0">
      <selection activeCell="T25" sqref="T25"/>
    </sheetView>
  </sheetViews>
  <sheetFormatPr defaultColWidth="11.5546875" defaultRowHeight="14.4" x14ac:dyDescent="0.3"/>
  <cols>
    <col min="2" max="2" width="11.5546875" style="32"/>
    <col min="4" max="4" width="11.5546875" style="2"/>
    <col min="11" max="11" width="18.88671875" bestFit="1" customWidth="1"/>
    <col min="12" max="12" width="20" bestFit="1" customWidth="1"/>
    <col min="13" max="13" width="13.21875" bestFit="1" customWidth="1"/>
    <col min="14" max="14" width="14.44140625" bestFit="1" customWidth="1"/>
    <col min="17" max="17" width="24.109375" customWidth="1"/>
    <col min="18" max="18" width="14.109375" bestFit="1" customWidth="1"/>
    <col min="19" max="19" width="14.6640625" customWidth="1"/>
    <col min="20" max="20" width="13.6640625" bestFit="1" customWidth="1"/>
  </cols>
  <sheetData>
    <row r="2" spans="2:18" x14ac:dyDescent="0.3">
      <c r="B2" s="30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57</v>
      </c>
      <c r="I2" s="1" t="s">
        <v>0</v>
      </c>
      <c r="K2" s="36" t="s">
        <v>56</v>
      </c>
      <c r="L2" s="36"/>
      <c r="N2" s="36" t="s">
        <v>65</v>
      </c>
      <c r="O2" s="36"/>
      <c r="Q2" s="36" t="s">
        <v>116</v>
      </c>
      <c r="R2" s="36"/>
    </row>
    <row r="3" spans="2:18" x14ac:dyDescent="0.3">
      <c r="B3" s="31">
        <v>1</v>
      </c>
      <c r="C3" s="3">
        <v>1073.1500000000001</v>
      </c>
      <c r="D3" s="4">
        <v>25</v>
      </c>
      <c r="E3" s="3">
        <v>1350.0381316636626</v>
      </c>
      <c r="F3" s="6">
        <v>3.0305681085599816</v>
      </c>
      <c r="G3" s="3">
        <v>1</v>
      </c>
      <c r="H3" s="3">
        <v>756.61237274082237</v>
      </c>
      <c r="I3" s="3">
        <f>C3-273.15</f>
        <v>800.00000000000011</v>
      </c>
      <c r="K3" s="7" t="s">
        <v>40</v>
      </c>
      <c r="L3" s="7" t="s">
        <v>41</v>
      </c>
      <c r="N3" s="7" t="s">
        <v>40</v>
      </c>
      <c r="O3" s="7" t="s">
        <v>41</v>
      </c>
      <c r="Q3" s="20" t="s">
        <v>40</v>
      </c>
      <c r="R3" s="20" t="s">
        <v>41</v>
      </c>
    </row>
    <row r="4" spans="2:18" x14ac:dyDescent="0.3">
      <c r="B4" s="31">
        <v>2</v>
      </c>
      <c r="C4" s="3">
        <v>1018.1871360117831</v>
      </c>
      <c r="D4" s="4">
        <v>17.482517482517483</v>
      </c>
      <c r="E4" s="3">
        <v>1281.3081492359206</v>
      </c>
      <c r="F4" s="6">
        <v>3.0357375517463359</v>
      </c>
      <c r="G4" s="3">
        <v>1</v>
      </c>
      <c r="H4" s="3">
        <v>686.34112082706883</v>
      </c>
      <c r="I4" s="3">
        <f t="shared" ref="I4:I44" si="0">C4-273.15</f>
        <v>745.0371360117831</v>
      </c>
      <c r="K4" s="8" t="s">
        <v>42</v>
      </c>
      <c r="L4" s="6">
        <v>0.1796736963027683</v>
      </c>
      <c r="N4" s="8" t="s">
        <v>66</v>
      </c>
      <c r="O4" s="9">
        <v>68.729982427742101</v>
      </c>
      <c r="Q4" s="12" t="s">
        <v>98</v>
      </c>
      <c r="R4" s="5">
        <v>85.041008555659317</v>
      </c>
    </row>
    <row r="5" spans="2:18" x14ac:dyDescent="0.3">
      <c r="B5" s="31">
        <v>3</v>
      </c>
      <c r="C5" s="3">
        <v>1073.1500000000001</v>
      </c>
      <c r="D5" s="4">
        <v>17.482517482517483</v>
      </c>
      <c r="E5" s="3">
        <v>1351.4823193165744</v>
      </c>
      <c r="F5" s="6">
        <v>3.1028601038812176</v>
      </c>
      <c r="G5" s="3">
        <v>1</v>
      </c>
      <c r="H5" s="3">
        <v>736.50270198870771</v>
      </c>
      <c r="I5" s="3">
        <f t="shared" si="0"/>
        <v>800.00000000000011</v>
      </c>
      <c r="K5" s="8" t="s">
        <v>43</v>
      </c>
      <c r="L5" s="6">
        <v>7.0174170080653853E-2</v>
      </c>
      <c r="N5" s="8" t="s">
        <v>67</v>
      </c>
      <c r="O5" s="9">
        <v>119.78456764170598</v>
      </c>
      <c r="Q5" s="12" t="s">
        <v>99</v>
      </c>
      <c r="R5" s="5">
        <v>107.41263143484889</v>
      </c>
    </row>
    <row r="6" spans="2:18" x14ac:dyDescent="0.3">
      <c r="B6" s="31">
        <v>4</v>
      </c>
      <c r="C6" s="3">
        <v>976.21764828798996</v>
      </c>
      <c r="D6" s="4">
        <v>9.1240875912408761</v>
      </c>
      <c r="E6" s="3">
        <v>1231.6977516748684</v>
      </c>
      <c r="F6" s="6">
        <v>3.112273260172465</v>
      </c>
      <c r="G6" s="3">
        <v>1</v>
      </c>
      <c r="H6" s="3">
        <v>613.91160179876624</v>
      </c>
      <c r="I6" s="3">
        <f t="shared" si="0"/>
        <v>703.06764828798998</v>
      </c>
      <c r="K6" s="12" t="s">
        <v>47</v>
      </c>
      <c r="L6" s="6">
        <v>0.24984786638342216</v>
      </c>
      <c r="N6" s="8" t="s">
        <v>68</v>
      </c>
      <c r="O6" s="9">
        <v>9.1301926814182846</v>
      </c>
      <c r="Q6" s="12" t="s">
        <v>100</v>
      </c>
      <c r="R6" s="5">
        <v>1263.8433507778232</v>
      </c>
    </row>
    <row r="7" spans="2:18" x14ac:dyDescent="0.3">
      <c r="B7" s="31">
        <v>5</v>
      </c>
      <c r="C7" s="3">
        <v>580.60739984606084</v>
      </c>
      <c r="D7" s="4">
        <v>9.1240875912408761</v>
      </c>
      <c r="E7" s="3">
        <v>758.77316593152807</v>
      </c>
      <c r="F7" s="6">
        <v>2.493493145865219</v>
      </c>
      <c r="G7" s="3">
        <v>1</v>
      </c>
      <c r="H7" s="3">
        <v>325.47630713613137</v>
      </c>
      <c r="I7" s="3">
        <f t="shared" si="0"/>
        <v>307.45739984606087</v>
      </c>
      <c r="K7" s="8" t="s">
        <v>44</v>
      </c>
      <c r="L7" s="6">
        <v>0.4850508570994323</v>
      </c>
      <c r="N7" s="8" t="s">
        <v>69</v>
      </c>
      <c r="O7" s="9">
        <v>-38.640801901504481</v>
      </c>
      <c r="Q7" s="12" t="s">
        <v>105</v>
      </c>
      <c r="R7" s="5">
        <v>552.14183910822305</v>
      </c>
    </row>
    <row r="8" spans="2:18" x14ac:dyDescent="0.3">
      <c r="B8" s="31">
        <v>6</v>
      </c>
      <c r="C8" s="3">
        <v>435.4382571755965</v>
      </c>
      <c r="D8" s="4">
        <v>9.1240875912408761</v>
      </c>
      <c r="E8" s="3">
        <v>591.20237940579909</v>
      </c>
      <c r="F8" s="6">
        <v>2.1610567826542426</v>
      </c>
      <c r="G8" s="3">
        <v>1</v>
      </c>
      <c r="H8" s="3">
        <v>257.02142230175508</v>
      </c>
      <c r="I8" s="3">
        <f t="shared" si="0"/>
        <v>162.28825717559653</v>
      </c>
      <c r="K8" s="8" t="s">
        <v>45</v>
      </c>
      <c r="L8" s="6">
        <v>0.16757078652572899</v>
      </c>
      <c r="N8" s="8" t="s">
        <v>70</v>
      </c>
      <c r="O8" s="9">
        <v>-18.872729900081151</v>
      </c>
      <c r="Q8" s="12" t="s">
        <v>104</v>
      </c>
      <c r="R8" s="5">
        <v>220.10427797124143</v>
      </c>
    </row>
    <row r="9" spans="2:18" x14ac:dyDescent="0.3">
      <c r="B9" s="31" t="s">
        <v>29</v>
      </c>
      <c r="C9" s="3">
        <v>435.4382571755965</v>
      </c>
      <c r="D9" s="4">
        <v>9.1240875912408761</v>
      </c>
      <c r="E9" s="3">
        <v>591.20237940579909</v>
      </c>
      <c r="F9" s="6">
        <v>2.1610567826542426</v>
      </c>
      <c r="G9" s="3">
        <v>0.79946350834994295</v>
      </c>
      <c r="H9" s="3">
        <v>257.02142230175508</v>
      </c>
      <c r="I9" s="3">
        <f t="shared" si="0"/>
        <v>162.28825717559653</v>
      </c>
      <c r="K9" s="8" t="s">
        <v>48</v>
      </c>
      <c r="L9" s="6">
        <v>2.6986863112883855E-2</v>
      </c>
      <c r="N9" s="8" t="s">
        <v>71</v>
      </c>
      <c r="O9" s="9">
        <v>-0.39899328053984756</v>
      </c>
      <c r="Q9" s="12" t="s">
        <v>101</v>
      </c>
      <c r="R9" s="5">
        <v>231.8240623558037</v>
      </c>
    </row>
    <row r="10" spans="2:18" x14ac:dyDescent="0.3">
      <c r="B10" s="31" t="s">
        <v>30</v>
      </c>
      <c r="C10" s="3">
        <v>425.599195454219</v>
      </c>
      <c r="D10" s="4">
        <v>9.1240875912408761</v>
      </c>
      <c r="E10" s="3">
        <v>579.32870756571242</v>
      </c>
      <c r="F10" s="6">
        <v>2.1334749202803449</v>
      </c>
      <c r="G10" s="3">
        <v>0.79946350834994295</v>
      </c>
      <c r="H10" s="3">
        <v>253.38511210401094</v>
      </c>
      <c r="I10" s="3">
        <f t="shared" si="0"/>
        <v>152.44919545421902</v>
      </c>
      <c r="K10" s="8" t="s">
        <v>49</v>
      </c>
      <c r="L10" s="6">
        <v>4.2999332517137619E-2</v>
      </c>
      <c r="N10" s="8" t="s">
        <v>72</v>
      </c>
      <c r="O10" s="9">
        <v>131.00101826786243</v>
      </c>
      <c r="Q10" s="12" t="s">
        <v>102</v>
      </c>
      <c r="R10" s="5">
        <v>5561.582067065191</v>
      </c>
    </row>
    <row r="11" spans="2:18" x14ac:dyDescent="0.3">
      <c r="B11" s="32" t="s">
        <v>31</v>
      </c>
      <c r="C11" s="3">
        <v>382.74751534537711</v>
      </c>
      <c r="D11" s="4">
        <v>9.1240875912408761</v>
      </c>
      <c r="E11" s="3">
        <v>524.59629845796826</v>
      </c>
      <c r="F11" s="6">
        <v>1.9977907986920829</v>
      </c>
      <c r="G11" s="3">
        <v>0.79946350834994295</v>
      </c>
      <c r="H11" s="3">
        <v>239.1069238478072</v>
      </c>
      <c r="I11" s="3">
        <f t="shared" si="0"/>
        <v>109.59751534537713</v>
      </c>
      <c r="K11" s="8" t="s">
        <v>50</v>
      </c>
      <c r="L11" s="6">
        <v>9.8729638030424609E-3</v>
      </c>
      <c r="N11" s="8" t="s">
        <v>73</v>
      </c>
      <c r="O11" s="9">
        <v>8.7311994008784364</v>
      </c>
      <c r="Q11" s="12" t="s">
        <v>103</v>
      </c>
      <c r="R11" s="5">
        <v>9692.8833643694998</v>
      </c>
    </row>
    <row r="12" spans="2:18" x14ac:dyDescent="0.3">
      <c r="B12" s="31" t="s">
        <v>32</v>
      </c>
      <c r="C12" s="3">
        <v>355.85332053913208</v>
      </c>
      <c r="D12" s="4">
        <v>9.1240875912408761</v>
      </c>
      <c r="E12" s="3">
        <v>484.78478220557434</v>
      </c>
      <c r="F12" s="6">
        <v>1.8898229319183995</v>
      </c>
      <c r="G12" s="3">
        <v>0.79946350834994295</v>
      </c>
      <c r="H12" s="3">
        <v>231.48602707398695</v>
      </c>
      <c r="I12" s="3">
        <f t="shared" si="0"/>
        <v>82.703320539132108</v>
      </c>
      <c r="K12" s="8" t="s">
        <v>51</v>
      </c>
      <c r="L12" s="6">
        <v>7.9859159433063931E-2</v>
      </c>
      <c r="N12" s="10" t="s">
        <v>74</v>
      </c>
      <c r="O12" s="11">
        <v>139.73221766874087</v>
      </c>
      <c r="Q12" s="12" t="s">
        <v>106</v>
      </c>
      <c r="R12" s="5">
        <v>738.80880064549069</v>
      </c>
    </row>
    <row r="13" spans="2:18" x14ac:dyDescent="0.3">
      <c r="B13" s="31" t="s">
        <v>33</v>
      </c>
      <c r="C13" s="3">
        <v>335.73040041117201</v>
      </c>
      <c r="D13" s="4">
        <v>9.1240875912408761</v>
      </c>
      <c r="E13" s="3">
        <v>446.78618016032357</v>
      </c>
      <c r="F13" s="6">
        <v>1.7797317171225744</v>
      </c>
      <c r="G13" s="3">
        <v>0.79946350834994295</v>
      </c>
      <c r="H13" s="3">
        <v>226.31112072011146</v>
      </c>
      <c r="I13" s="3">
        <f t="shared" si="0"/>
        <v>62.580400411172036</v>
      </c>
      <c r="K13" s="8" t="s">
        <v>52</v>
      </c>
      <c r="L13" s="6">
        <v>5.7340899988327594E-2</v>
      </c>
      <c r="Q13" s="12" t="s">
        <v>107</v>
      </c>
      <c r="R13" s="5">
        <v>1402.2785650857879</v>
      </c>
    </row>
    <row r="14" spans="2:18" x14ac:dyDescent="0.3">
      <c r="B14" s="31" t="s">
        <v>34</v>
      </c>
      <c r="C14" s="3">
        <v>435.4382571755965</v>
      </c>
      <c r="D14" s="4">
        <v>9.1240875912408761</v>
      </c>
      <c r="E14" s="3">
        <v>591.20237940579909</v>
      </c>
      <c r="F14" s="6">
        <v>2.1610567826542426</v>
      </c>
      <c r="G14" s="3">
        <v>0.20053649165005705</v>
      </c>
      <c r="H14" s="3">
        <v>257.02142230175508</v>
      </c>
      <c r="I14" s="3">
        <f t="shared" si="0"/>
        <v>162.28825717559653</v>
      </c>
      <c r="K14" s="8" t="s">
        <v>54</v>
      </c>
      <c r="L14" s="6">
        <v>1.3787060043857914E-2</v>
      </c>
      <c r="N14" s="37" t="s">
        <v>75</v>
      </c>
      <c r="O14" s="37"/>
      <c r="Q14" s="12" t="s">
        <v>108</v>
      </c>
      <c r="R14" s="5">
        <v>684.89325534693512</v>
      </c>
    </row>
    <row r="15" spans="2:18" x14ac:dyDescent="0.3">
      <c r="B15" s="31">
        <v>7</v>
      </c>
      <c r="C15" s="3">
        <v>328.15</v>
      </c>
      <c r="D15" s="4">
        <v>9.1240875912408761</v>
      </c>
      <c r="E15" s="3">
        <v>427.37611738856413</v>
      </c>
      <c r="F15" s="6">
        <v>1.72122584179495</v>
      </c>
      <c r="G15" s="3">
        <v>0.79946350834994295</v>
      </c>
      <c r="H15" s="3">
        <v>224.33075530171814</v>
      </c>
      <c r="I15" s="3">
        <f t="shared" si="0"/>
        <v>55</v>
      </c>
      <c r="K15" s="8" t="s">
        <v>53</v>
      </c>
      <c r="L15" s="6">
        <v>7.1127960032185508E-2</v>
      </c>
      <c r="N15" s="8" t="s">
        <v>80</v>
      </c>
      <c r="O15" s="9">
        <v>10.933247310468779</v>
      </c>
      <c r="Q15" s="12" t="s">
        <v>109</v>
      </c>
      <c r="R15" s="5">
        <v>14.479506050119126</v>
      </c>
    </row>
    <row r="16" spans="2:18" x14ac:dyDescent="0.3">
      <c r="B16" s="31">
        <v>8</v>
      </c>
      <c r="C16" s="3">
        <v>407.92598052767181</v>
      </c>
      <c r="D16" s="4">
        <v>25</v>
      </c>
      <c r="E16" s="3">
        <v>475.70953285771714</v>
      </c>
      <c r="F16" s="6">
        <v>1.7343043486568708</v>
      </c>
      <c r="G16" s="3">
        <v>0.79946350834994295</v>
      </c>
      <c r="H16" s="3">
        <v>268.76481394998945</v>
      </c>
      <c r="I16" s="3">
        <f t="shared" si="0"/>
        <v>134.77598052767183</v>
      </c>
      <c r="K16" s="8" t="s">
        <v>46</v>
      </c>
      <c r="L16" s="6">
        <v>3.0378495703489477E-2</v>
      </c>
      <c r="N16" s="8" t="s">
        <v>81</v>
      </c>
      <c r="O16" s="9">
        <v>52.432314177470431</v>
      </c>
      <c r="Q16" s="12" t="s">
        <v>110</v>
      </c>
      <c r="R16" s="5">
        <v>1851.2351016359887</v>
      </c>
    </row>
    <row r="17" spans="2:25" x14ac:dyDescent="0.3">
      <c r="B17" s="31">
        <v>9</v>
      </c>
      <c r="C17" s="3">
        <v>547.69370647629023</v>
      </c>
      <c r="D17" s="4">
        <v>25</v>
      </c>
      <c r="E17" s="3">
        <v>685.31357954095802</v>
      </c>
      <c r="F17" s="6">
        <v>2.180095650521598</v>
      </c>
      <c r="G17" s="3">
        <v>0.79946350834994295</v>
      </c>
      <c r="H17" s="3">
        <v>345.4561839822619</v>
      </c>
      <c r="I17" s="3">
        <f t="shared" si="0"/>
        <v>274.54370647629025</v>
      </c>
      <c r="K17" s="8" t="s">
        <v>55</v>
      </c>
      <c r="L17" s="6">
        <v>-1.5517636879531452E-2</v>
      </c>
      <c r="N17" s="8" t="s">
        <v>82</v>
      </c>
      <c r="O17" s="9">
        <v>59.710107512679613</v>
      </c>
      <c r="Q17" s="12" t="s">
        <v>111</v>
      </c>
      <c r="R17" s="5">
        <v>1185.5793514604527</v>
      </c>
    </row>
    <row r="18" spans="2:25" x14ac:dyDescent="0.3">
      <c r="B18" s="31">
        <v>10</v>
      </c>
      <c r="C18" s="3">
        <v>547.69370647629023</v>
      </c>
      <c r="D18" s="4">
        <v>25</v>
      </c>
      <c r="E18" s="3">
        <v>685.31357954095802</v>
      </c>
      <c r="F18" s="6">
        <v>2.180095650521598</v>
      </c>
      <c r="G18" s="3">
        <v>0.20053649165005705</v>
      </c>
      <c r="H18" s="3">
        <v>345.4561839822619</v>
      </c>
      <c r="I18" s="3">
        <f t="shared" si="0"/>
        <v>274.54370647629025</v>
      </c>
      <c r="K18" s="10" t="s">
        <v>248</v>
      </c>
      <c r="L18" s="15">
        <v>0</v>
      </c>
      <c r="N18" s="8" t="s">
        <v>83</v>
      </c>
      <c r="O18" s="9">
        <v>54.533240924600179</v>
      </c>
      <c r="Q18" s="12" t="s">
        <v>112</v>
      </c>
      <c r="R18" s="5">
        <v>206607.62331619667</v>
      </c>
      <c r="V18" s="5">
        <f>R23-R9-R6</f>
        <v>217544.61505479633</v>
      </c>
    </row>
    <row r="19" spans="2:25" x14ac:dyDescent="0.3">
      <c r="B19" s="31">
        <v>11</v>
      </c>
      <c r="C19" s="3">
        <v>547.69370647629023</v>
      </c>
      <c r="D19" s="4">
        <v>25</v>
      </c>
      <c r="E19" s="3">
        <v>685.31357954095802</v>
      </c>
      <c r="F19" s="6">
        <v>2.180095650521598</v>
      </c>
      <c r="G19" s="3">
        <v>1</v>
      </c>
      <c r="H19" s="3">
        <v>345.4561839822619</v>
      </c>
      <c r="I19" s="3">
        <f t="shared" si="0"/>
        <v>274.54370647629025</v>
      </c>
      <c r="K19" s="37" t="s">
        <v>58</v>
      </c>
      <c r="L19" s="37"/>
      <c r="N19" s="8" t="s">
        <v>84</v>
      </c>
      <c r="O19" s="9">
        <v>55.926920526231214</v>
      </c>
      <c r="Q19" s="12" t="s">
        <v>122</v>
      </c>
      <c r="R19" s="5">
        <v>15470.399698991729</v>
      </c>
    </row>
    <row r="20" spans="2:25" x14ac:dyDescent="0.3">
      <c r="B20" s="31">
        <v>12</v>
      </c>
      <c r="C20" s="3">
        <v>932.93660164805499</v>
      </c>
      <c r="D20" s="4">
        <v>25</v>
      </c>
      <c r="E20" s="3">
        <v>1170.3644353608943</v>
      </c>
      <c r="F20" s="6">
        <v>2.8511829889834948</v>
      </c>
      <c r="G20" s="3">
        <v>1</v>
      </c>
      <c r="H20" s="3">
        <v>630.42234983978369</v>
      </c>
      <c r="I20" s="3">
        <f t="shared" si="0"/>
        <v>659.78660164805501</v>
      </c>
      <c r="K20" s="12" t="s">
        <v>59</v>
      </c>
      <c r="L20" s="3">
        <v>30.736985037643443</v>
      </c>
      <c r="N20" s="8" t="s">
        <v>85</v>
      </c>
      <c r="O20" s="9">
        <v>42.769352704733009</v>
      </c>
      <c r="Q20" s="12" t="s">
        <v>250</v>
      </c>
      <c r="R20">
        <v>0</v>
      </c>
    </row>
    <row r="21" spans="2:25" x14ac:dyDescent="0.3">
      <c r="B21" s="31">
        <v>17</v>
      </c>
      <c r="C21" s="3">
        <v>313.14999999999998</v>
      </c>
      <c r="D21" s="4">
        <v>378.48516056463825</v>
      </c>
      <c r="E21" s="3">
        <v>296.81701942671828</v>
      </c>
      <c r="F21" s="6">
        <v>1.3288165220551185</v>
      </c>
      <c r="G21" s="3">
        <v>0.16599534381649897</v>
      </c>
      <c r="H21" s="3">
        <v>36.677930334608249</v>
      </c>
      <c r="I21" s="3">
        <f t="shared" si="0"/>
        <v>40</v>
      </c>
      <c r="K21" s="12" t="s">
        <v>60</v>
      </c>
      <c r="L21" s="3">
        <v>13.428227032156792</v>
      </c>
      <c r="N21" s="8" t="s">
        <v>86</v>
      </c>
      <c r="O21" s="9">
        <v>22.472364524327521</v>
      </c>
      <c r="Q21" s="36" t="s">
        <v>117</v>
      </c>
      <c r="R21" s="36"/>
      <c r="S21" s="36" t="s">
        <v>117</v>
      </c>
      <c r="T21" s="36"/>
    </row>
    <row r="22" spans="2:25" x14ac:dyDescent="0.3">
      <c r="B22" s="31">
        <v>18</v>
      </c>
      <c r="C22" s="3">
        <v>313.85772974398833</v>
      </c>
      <c r="D22" s="4">
        <v>1513.940642258553</v>
      </c>
      <c r="E22" s="3">
        <v>299.22066082632841</v>
      </c>
      <c r="F22" s="6">
        <v>1.32996553469988</v>
      </c>
      <c r="G22" s="3">
        <v>0.16599534381649897</v>
      </c>
      <c r="H22" s="3">
        <v>38.738993614182689</v>
      </c>
      <c r="I22" s="3">
        <f t="shared" si="0"/>
        <v>40.707729743988352</v>
      </c>
      <c r="K22" s="12" t="s">
        <v>61</v>
      </c>
      <c r="L22" s="3">
        <v>2.0682185066311423</v>
      </c>
      <c r="N22" s="8" t="s">
        <v>87</v>
      </c>
      <c r="O22" s="5">
        <v>58.602202086203761</v>
      </c>
      <c r="Q22" s="21" t="s">
        <v>113</v>
      </c>
      <c r="R22" s="22">
        <v>269.4648139393471</v>
      </c>
      <c r="S22" s="21" t="s">
        <v>127</v>
      </c>
      <c r="T22" s="23">
        <v>0</v>
      </c>
      <c r="V22" s="26">
        <f>(R23-228195)/228195</f>
        <v>-4.0117958465654649E-2</v>
      </c>
    </row>
    <row r="23" spans="2:25" x14ac:dyDescent="0.3">
      <c r="B23" s="32" t="s">
        <v>246</v>
      </c>
      <c r="C23" s="3">
        <v>313.85772974398833</v>
      </c>
      <c r="D23" s="4">
        <v>1513.940642258553</v>
      </c>
      <c r="E23" s="3">
        <v>299.22066082632841</v>
      </c>
      <c r="F23" s="6">
        <v>1.32996553469988</v>
      </c>
      <c r="G23" s="3">
        <v>0.16599534381649897</v>
      </c>
      <c r="H23" s="3">
        <v>38.738993614182689</v>
      </c>
      <c r="I23" s="3">
        <f t="shared" si="0"/>
        <v>40.707729743988352</v>
      </c>
      <c r="K23" s="12" t="s">
        <v>62</v>
      </c>
      <c r="L23" s="3">
        <v>2.6123019464674564</v>
      </c>
      <c r="N23" s="8" t="s">
        <v>88</v>
      </c>
      <c r="O23" s="5">
        <v>23.350437403404296</v>
      </c>
      <c r="Q23" s="21" t="s">
        <v>114</v>
      </c>
      <c r="R23" s="22">
        <v>219040.28246792994</v>
      </c>
      <c r="S23" s="21" t="s">
        <v>128</v>
      </c>
      <c r="T23" s="23">
        <v>0</v>
      </c>
      <c r="V23" s="26">
        <f>(R24-10815)/10815</f>
        <v>6.9332608590334634E-3</v>
      </c>
    </row>
    <row r="24" spans="2:25" x14ac:dyDescent="0.3">
      <c r="B24" s="31" t="s">
        <v>35</v>
      </c>
      <c r="C24" s="3">
        <v>372.74751534537711</v>
      </c>
      <c r="D24" s="4">
        <v>1513.940642258553</v>
      </c>
      <c r="E24" s="3">
        <v>461.79668550516948</v>
      </c>
      <c r="F24" s="6">
        <v>1.8033524508158914</v>
      </c>
      <c r="G24" s="3">
        <v>0.16599534381649897</v>
      </c>
      <c r="H24" s="3">
        <v>60.174709253035019</v>
      </c>
      <c r="I24" s="3">
        <f t="shared" si="0"/>
        <v>99.597515345377133</v>
      </c>
      <c r="K24" s="12" t="s">
        <v>63</v>
      </c>
      <c r="L24" s="3">
        <v>5.3529908548869454</v>
      </c>
      <c r="N24" s="10" t="s">
        <v>89</v>
      </c>
      <c r="O24" s="14">
        <v>23.354472765920619</v>
      </c>
      <c r="Q24" s="21" t="s">
        <v>115</v>
      </c>
      <c r="R24" s="22">
        <v>10889.983216190447</v>
      </c>
      <c r="S24" s="21" t="s">
        <v>126</v>
      </c>
      <c r="T24" s="23">
        <v>15470.399698991729</v>
      </c>
      <c r="V24" s="8"/>
      <c r="W24" s="8"/>
      <c r="X24" s="8"/>
      <c r="Y24" s="8"/>
    </row>
    <row r="25" spans="2:25" x14ac:dyDescent="0.3">
      <c r="B25" s="31" t="s">
        <v>36</v>
      </c>
      <c r="C25" s="3">
        <v>372.74751534537711</v>
      </c>
      <c r="D25" s="4">
        <v>1513.940642258553</v>
      </c>
      <c r="E25" s="3">
        <v>720.83607497546461</v>
      </c>
      <c r="F25" s="6">
        <v>2.4982984365195833</v>
      </c>
      <c r="G25" s="3">
        <v>0.16599534381649897</v>
      </c>
      <c r="H25" s="3">
        <v>112.01595308577436</v>
      </c>
      <c r="I25" s="3">
        <f t="shared" si="0"/>
        <v>99.597515345377133</v>
      </c>
      <c r="K25" s="12" t="s">
        <v>64</v>
      </c>
      <c r="L25" s="3">
        <v>5.6380189298069876</v>
      </c>
      <c r="Q25" s="8"/>
      <c r="R25" s="8"/>
      <c r="S25" s="33" t="s">
        <v>242</v>
      </c>
      <c r="T25" s="34">
        <v>245670.13019705148</v>
      </c>
      <c r="U25" s="5"/>
      <c r="V25" s="8"/>
      <c r="W25" s="8"/>
      <c r="X25" s="8"/>
      <c r="Y25" s="8"/>
    </row>
    <row r="26" spans="2:25" x14ac:dyDescent="0.3">
      <c r="B26" s="31">
        <v>15</v>
      </c>
      <c r="C26" s="3">
        <v>396.4382571755965</v>
      </c>
      <c r="D26" s="4">
        <v>1513.940642258553</v>
      </c>
      <c r="E26" s="3">
        <v>780.31342883399589</v>
      </c>
      <c r="F26" s="6">
        <v>2.6530353973219061</v>
      </c>
      <c r="G26" s="3">
        <v>0.16599534381649897</v>
      </c>
      <c r="H26" s="3">
        <v>125.35848208109306</v>
      </c>
      <c r="I26" s="3">
        <f t="shared" si="0"/>
        <v>123.28825717559653</v>
      </c>
      <c r="K26" s="13" t="s">
        <v>249</v>
      </c>
      <c r="L26" s="24">
        <v>0</v>
      </c>
      <c r="N26" s="37" t="s">
        <v>76</v>
      </c>
      <c r="O26" s="37"/>
      <c r="Q26" s="8"/>
      <c r="R26" s="8"/>
      <c r="S26" s="8"/>
      <c r="T26" s="8"/>
      <c r="V26" s="8"/>
      <c r="W26" s="8"/>
      <c r="X26" s="8"/>
      <c r="Y26" s="8"/>
    </row>
    <row r="27" spans="2:25" x14ac:dyDescent="0.3">
      <c r="B27" s="31">
        <v>16</v>
      </c>
      <c r="C27" s="3">
        <v>355.48092980123221</v>
      </c>
      <c r="D27" s="4">
        <v>378.48516056463825</v>
      </c>
      <c r="E27" s="3">
        <v>725.31072531532766</v>
      </c>
      <c r="F27" s="6">
        <v>2.6805262279794495</v>
      </c>
      <c r="G27" s="3">
        <v>0.16599534381649897</v>
      </c>
      <c r="H27" s="3">
        <v>62.159387401878277</v>
      </c>
      <c r="I27" s="3">
        <f t="shared" si="0"/>
        <v>82.33092980123223</v>
      </c>
      <c r="N27" s="12" t="s">
        <v>77</v>
      </c>
      <c r="O27" s="5">
        <v>0.71269346475761464</v>
      </c>
      <c r="Q27" s="8"/>
      <c r="R27" s="8"/>
      <c r="S27" s="8"/>
      <c r="T27" s="8"/>
      <c r="U27" s="8"/>
      <c r="V27" s="8"/>
      <c r="W27" s="8"/>
      <c r="X27" s="8"/>
      <c r="Y27" s="8"/>
    </row>
    <row r="28" spans="2:25" x14ac:dyDescent="0.3">
      <c r="B28" s="31" t="s">
        <v>247</v>
      </c>
      <c r="C28" s="3">
        <v>355.48092980123221</v>
      </c>
      <c r="D28" s="4">
        <v>378.48516056463825</v>
      </c>
      <c r="E28" s="3">
        <v>725.31072531532766</v>
      </c>
      <c r="F28" s="6">
        <v>2.6805262279794495</v>
      </c>
      <c r="G28" s="3">
        <v>0.16599534381649897</v>
      </c>
      <c r="H28" s="3">
        <v>62.159387401878277</v>
      </c>
      <c r="I28" s="3">
        <f t="shared" si="0"/>
        <v>82.33092980123223</v>
      </c>
      <c r="N28" s="12" t="s">
        <v>78</v>
      </c>
      <c r="O28" s="5">
        <v>0.99770990140218263</v>
      </c>
      <c r="Q28" s="8"/>
      <c r="R28" s="8"/>
      <c r="S28" s="8"/>
      <c r="T28" s="8"/>
      <c r="U28" s="8"/>
      <c r="V28" s="8"/>
      <c r="W28" s="8"/>
      <c r="X28" s="8"/>
      <c r="Y28" s="8"/>
    </row>
    <row r="29" spans="2:25" x14ac:dyDescent="0.3">
      <c r="B29" s="31" t="s">
        <v>28</v>
      </c>
      <c r="C29" s="3">
        <v>313.14999999999998</v>
      </c>
      <c r="D29" s="4">
        <v>378.48516056463825</v>
      </c>
      <c r="E29" s="3">
        <v>642.25381704988297</v>
      </c>
      <c r="F29" s="6">
        <v>2.4319198195904663</v>
      </c>
      <c r="G29" s="3">
        <v>0.16599534381649897</v>
      </c>
      <c r="H29" s="3">
        <v>53.224479797608936</v>
      </c>
      <c r="I29" s="3">
        <f t="shared" si="0"/>
        <v>40</v>
      </c>
      <c r="N29" s="13" t="s">
        <v>79</v>
      </c>
      <c r="O29" s="14">
        <v>0.6</v>
      </c>
      <c r="Q29" s="8"/>
      <c r="R29" s="8"/>
      <c r="S29" s="8"/>
      <c r="T29" s="8"/>
      <c r="U29" s="8"/>
      <c r="V29" s="8"/>
      <c r="W29" s="8"/>
      <c r="X29" s="8"/>
      <c r="Y29" s="8"/>
    </row>
    <row r="30" spans="2:25" x14ac:dyDescent="0.3">
      <c r="B30" s="31" t="s">
        <v>37</v>
      </c>
      <c r="C30" s="3">
        <v>298.14999999999998</v>
      </c>
      <c r="D30" s="4">
        <v>101.325</v>
      </c>
      <c r="E30" s="3">
        <v>104.92011957080643</v>
      </c>
      <c r="F30" s="6">
        <v>0.36719964130372146</v>
      </c>
      <c r="G30" s="3">
        <v>2.7432697976126201</v>
      </c>
      <c r="H30" s="3">
        <v>2.5073905791015251E-5</v>
      </c>
      <c r="I30" s="3">
        <f t="shared" si="0"/>
        <v>25</v>
      </c>
      <c r="Q30" s="8"/>
      <c r="R30" s="8"/>
      <c r="S30" s="8"/>
      <c r="T30" s="8"/>
      <c r="U30" s="8"/>
      <c r="V30" s="8"/>
      <c r="W30" s="8"/>
      <c r="X30" s="8"/>
      <c r="Y30" s="8"/>
    </row>
    <row r="31" spans="2:25" x14ac:dyDescent="0.3">
      <c r="B31" s="31" t="s">
        <v>38</v>
      </c>
      <c r="C31" s="3">
        <v>303.14999999999998</v>
      </c>
      <c r="D31" s="4">
        <v>101.325</v>
      </c>
      <c r="E31" s="3">
        <v>125.82251132178534</v>
      </c>
      <c r="F31" s="6">
        <v>0.43672528196163279</v>
      </c>
      <c r="G31" s="3">
        <v>2.7432697976126201</v>
      </c>
      <c r="H31" s="3">
        <v>0.17334706272843686</v>
      </c>
      <c r="I31" s="3">
        <f t="shared" si="0"/>
        <v>30</v>
      </c>
      <c r="Q31" s="8"/>
      <c r="R31" s="8"/>
      <c r="S31" s="8"/>
      <c r="T31" s="8"/>
      <c r="U31" s="8"/>
      <c r="V31" s="8"/>
      <c r="W31" s="8"/>
      <c r="X31" s="8"/>
      <c r="Y31" s="8"/>
    </row>
    <row r="32" spans="2:25" x14ac:dyDescent="0.3">
      <c r="B32" s="31" t="s">
        <v>39</v>
      </c>
      <c r="C32" s="3">
        <v>304.35242224144457</v>
      </c>
      <c r="D32" s="4">
        <v>101.325</v>
      </c>
      <c r="E32" s="3">
        <v>130.84828751625821</v>
      </c>
      <c r="F32" s="6">
        <v>0.453271003020907</v>
      </c>
      <c r="G32" s="3">
        <v>2.7432697976126201</v>
      </c>
      <c r="H32" s="3">
        <v>0.26601652337869747</v>
      </c>
      <c r="I32" s="3">
        <f t="shared" si="0"/>
        <v>31.202422241444594</v>
      </c>
      <c r="Q32" s="8"/>
      <c r="R32" s="8"/>
      <c r="S32" s="8"/>
      <c r="T32" s="8"/>
      <c r="U32" s="8"/>
      <c r="V32" s="8"/>
      <c r="W32" s="8"/>
      <c r="X32" s="8"/>
      <c r="Y32" s="8"/>
    </row>
    <row r="33" spans="2:25" x14ac:dyDescent="0.3">
      <c r="B33" s="31" t="s">
        <v>29</v>
      </c>
      <c r="C33" s="3">
        <v>435.4382571755965</v>
      </c>
      <c r="D33" s="4">
        <v>9124.0875912408756</v>
      </c>
      <c r="E33" s="3">
        <v>591.20237940555796</v>
      </c>
      <c r="F33" s="6">
        <v>2.1610567826542426</v>
      </c>
      <c r="G33" s="3">
        <v>0.79946350834994295</v>
      </c>
      <c r="H33" s="3">
        <v>257.03525167707909</v>
      </c>
      <c r="I33" s="3">
        <f t="shared" si="0"/>
        <v>162.28825717559653</v>
      </c>
      <c r="Q33" s="8"/>
      <c r="R33" s="8"/>
      <c r="S33" s="8"/>
      <c r="T33" s="8"/>
      <c r="U33" s="8"/>
      <c r="V33" s="8"/>
      <c r="W33" s="8"/>
      <c r="X33" s="8"/>
      <c r="Y33" s="8"/>
    </row>
    <row r="34" spans="2:25" x14ac:dyDescent="0.3">
      <c r="B34" s="31" t="s">
        <v>30</v>
      </c>
      <c r="C34" s="3">
        <v>425.599195454219</v>
      </c>
      <c r="D34" s="4">
        <v>9124.0875912408756</v>
      </c>
      <c r="E34" s="3">
        <v>579.32870756571242</v>
      </c>
      <c r="F34" s="6">
        <v>2.1334749202803449</v>
      </c>
      <c r="G34" s="3">
        <v>0.79946350834994295</v>
      </c>
      <c r="H34" s="3">
        <v>253.38511210401094</v>
      </c>
      <c r="I34" s="3">
        <f t="shared" si="0"/>
        <v>152.44919545421902</v>
      </c>
    </row>
    <row r="35" spans="2:25" x14ac:dyDescent="0.3">
      <c r="B35" s="31" t="s">
        <v>31</v>
      </c>
      <c r="C35" s="3">
        <v>382.74751534537711</v>
      </c>
      <c r="D35" s="4">
        <v>9124.0875912408756</v>
      </c>
      <c r="E35" s="3">
        <v>524.59629845796826</v>
      </c>
      <c r="F35" s="6">
        <v>1.9977907986920829</v>
      </c>
      <c r="G35" s="3">
        <v>0.79946350834994295</v>
      </c>
      <c r="H35" s="3">
        <v>239.1069238478072</v>
      </c>
      <c r="I35" s="3">
        <f t="shared" si="0"/>
        <v>109.59751534537713</v>
      </c>
    </row>
    <row r="36" spans="2:25" x14ac:dyDescent="0.3">
      <c r="B36" s="32" t="s">
        <v>32</v>
      </c>
      <c r="C36" s="3">
        <v>355.85332053913208</v>
      </c>
      <c r="D36" s="4">
        <v>9124.0875912408756</v>
      </c>
      <c r="E36" s="3">
        <v>484.78478220557434</v>
      </c>
      <c r="F36" s="6">
        <v>1.8898229319183995</v>
      </c>
      <c r="G36" s="3">
        <v>0.79946350834994295</v>
      </c>
      <c r="H36" s="3">
        <v>231.48602707398695</v>
      </c>
      <c r="I36" s="3">
        <f t="shared" si="0"/>
        <v>82.703320539132108</v>
      </c>
    </row>
    <row r="37" spans="2:25" x14ac:dyDescent="0.3">
      <c r="B37" s="32">
        <v>13</v>
      </c>
      <c r="C37" s="3">
        <v>298.14999999999998</v>
      </c>
      <c r="D37" s="4">
        <v>0.101325</v>
      </c>
      <c r="E37" s="3">
        <v>424.43605428165802</v>
      </c>
      <c r="F37" s="6">
        <v>3.8804887263997387</v>
      </c>
      <c r="G37" s="3">
        <v>0.8</v>
      </c>
      <c r="H37" s="3">
        <v>2.1111792130950945E-2</v>
      </c>
      <c r="I37" s="3">
        <f t="shared" si="0"/>
        <v>25</v>
      </c>
    </row>
    <row r="38" spans="2:25" x14ac:dyDescent="0.3">
      <c r="B38" s="32">
        <v>14</v>
      </c>
      <c r="C38" s="3">
        <v>278.14999999999998</v>
      </c>
      <c r="D38" s="4">
        <v>0.101325</v>
      </c>
      <c r="E38" s="3">
        <v>462.40917391101988</v>
      </c>
      <c r="F38" s="6">
        <v>4.000416406253489</v>
      </c>
      <c r="G38" s="3">
        <v>0.8</v>
      </c>
      <c r="H38" s="3">
        <v>2.2377936730971415</v>
      </c>
      <c r="I38" s="3">
        <f t="shared" si="0"/>
        <v>5</v>
      </c>
    </row>
    <row r="39" spans="2:25" x14ac:dyDescent="0.3">
      <c r="B39" s="32" t="s">
        <v>32</v>
      </c>
      <c r="C39" s="3">
        <v>355.85332053913208</v>
      </c>
      <c r="D39" s="4">
        <v>9.1240875912408761</v>
      </c>
      <c r="E39" s="3">
        <v>484.78478220557434</v>
      </c>
      <c r="F39" s="6">
        <v>1.8898229319183995</v>
      </c>
      <c r="G39" s="3">
        <v>0.79946350834994295</v>
      </c>
      <c r="H39" s="3">
        <v>231.48602707398695</v>
      </c>
      <c r="I39" s="3">
        <f t="shared" si="0"/>
        <v>82.703320539132108</v>
      </c>
    </row>
    <row r="40" spans="2:25" x14ac:dyDescent="0.3">
      <c r="B40" s="32" t="s">
        <v>33</v>
      </c>
      <c r="C40" s="3">
        <v>335.73040041117201</v>
      </c>
      <c r="D40" s="4">
        <v>9.1240875912408761</v>
      </c>
      <c r="E40" s="3">
        <v>446.78618016032357</v>
      </c>
      <c r="F40" s="6">
        <v>1.7797317171225744</v>
      </c>
      <c r="G40" s="3">
        <v>0.79946350834994295</v>
      </c>
      <c r="H40" s="3">
        <v>226.31112072011146</v>
      </c>
      <c r="I40" s="3">
        <f t="shared" si="0"/>
        <v>62.580400411172036</v>
      </c>
    </row>
    <row r="41" spans="2:25" x14ac:dyDescent="0.3">
      <c r="B41" s="32" t="s">
        <v>33</v>
      </c>
      <c r="C41" s="3">
        <v>335.73040041117201</v>
      </c>
      <c r="D41" s="4">
        <v>9124.0875912408756</v>
      </c>
      <c r="E41" s="3">
        <v>446.78618015873252</v>
      </c>
      <c r="F41" s="6">
        <v>1.7797317171225744</v>
      </c>
      <c r="G41" s="3">
        <v>0.79946350834994295</v>
      </c>
      <c r="H41" s="3">
        <v>226.31112071852041</v>
      </c>
      <c r="I41" s="3">
        <f t="shared" si="0"/>
        <v>62.580400411172036</v>
      </c>
    </row>
    <row r="42" spans="2:25" x14ac:dyDescent="0.3">
      <c r="B42" s="32">
        <v>7</v>
      </c>
      <c r="C42" s="3">
        <v>328.15</v>
      </c>
      <c r="D42" s="4">
        <v>9124.0875912408756</v>
      </c>
      <c r="E42" s="3">
        <v>427.37611738856413</v>
      </c>
      <c r="F42" s="6">
        <v>1.72122584179495</v>
      </c>
      <c r="G42" s="3">
        <v>0.79946350834994295</v>
      </c>
      <c r="H42" s="3">
        <v>224.34458467728319</v>
      </c>
      <c r="I42" s="3">
        <f t="shared" si="0"/>
        <v>55</v>
      </c>
    </row>
    <row r="43" spans="2:25" x14ac:dyDescent="0.3">
      <c r="B43" s="32">
        <v>19</v>
      </c>
      <c r="C43" s="3">
        <v>298.14999999999998</v>
      </c>
      <c r="D43" s="4">
        <v>101.325</v>
      </c>
      <c r="E43" s="3">
        <v>104.92011957080643</v>
      </c>
      <c r="F43" s="3">
        <v>0.36719964130372146</v>
      </c>
      <c r="G43" s="3">
        <v>3.9058889197145273E-4</v>
      </c>
      <c r="H43" s="3">
        <v>2.5073905791015251E-5</v>
      </c>
      <c r="I43" s="3">
        <f t="shared" si="0"/>
        <v>25</v>
      </c>
    </row>
    <row r="44" spans="2:25" x14ac:dyDescent="0.3">
      <c r="B44" s="32">
        <v>20</v>
      </c>
      <c r="C44" s="3">
        <v>334.73040041117201</v>
      </c>
      <c r="D44" s="4">
        <v>101.325</v>
      </c>
      <c r="E44" s="3">
        <v>257.86315019881482</v>
      </c>
      <c r="F44" s="3">
        <v>0.8510571395108496</v>
      </c>
      <c r="G44" s="3">
        <v>3.9058889197145273E-4</v>
      </c>
      <c r="H44" s="3">
        <v>8.6809426114589439</v>
      </c>
      <c r="I44" s="3">
        <f t="shared" si="0"/>
        <v>61.580400411172036</v>
      </c>
    </row>
  </sheetData>
  <mergeCells count="8">
    <mergeCell ref="S21:T21"/>
    <mergeCell ref="N26:O26"/>
    <mergeCell ref="K2:L2"/>
    <mergeCell ref="K19:L19"/>
    <mergeCell ref="Q2:R2"/>
    <mergeCell ref="Q21:R21"/>
    <mergeCell ref="N2:O2"/>
    <mergeCell ref="N14:O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A90F-813A-493D-869A-57A3178EDC43}">
  <dimension ref="A1:N28"/>
  <sheetViews>
    <sheetView workbookViewId="0">
      <selection activeCell="K6" sqref="K6:N12"/>
    </sheetView>
  </sheetViews>
  <sheetFormatPr defaultColWidth="11.5546875" defaultRowHeight="14.4" x14ac:dyDescent="0.3"/>
  <cols>
    <col min="2" max="2" width="22.77734375" bestFit="1" customWidth="1"/>
    <col min="3" max="3" width="12.6640625" bestFit="1" customWidth="1"/>
    <col min="5" max="5" width="17" bestFit="1" customWidth="1"/>
    <col min="6" max="6" width="12.6640625" bestFit="1" customWidth="1"/>
    <col min="8" max="8" width="12.6640625" bestFit="1" customWidth="1"/>
    <col min="11" max="11" width="14.77734375" bestFit="1" customWidth="1"/>
    <col min="12" max="12" width="17.21875" bestFit="1" customWidth="1"/>
    <col min="13" max="13" width="22.33203125" bestFit="1" customWidth="1"/>
  </cols>
  <sheetData>
    <row r="1" spans="1:14" x14ac:dyDescent="0.3">
      <c r="A1" s="1" t="s">
        <v>235</v>
      </c>
      <c r="B1" s="1" t="s">
        <v>236</v>
      </c>
      <c r="C1" s="1" t="s">
        <v>201</v>
      </c>
      <c r="E1" s="1" t="s">
        <v>226</v>
      </c>
      <c r="F1" s="1" t="s">
        <v>231</v>
      </c>
      <c r="G1" s="1" t="s">
        <v>232</v>
      </c>
      <c r="H1" s="1" t="s">
        <v>233</v>
      </c>
      <c r="I1" s="1" t="s">
        <v>234</v>
      </c>
      <c r="K1" s="1" t="s">
        <v>237</v>
      </c>
      <c r="L1" s="1" t="s">
        <v>238</v>
      </c>
      <c r="M1" s="1" t="s">
        <v>239</v>
      </c>
    </row>
    <row r="2" spans="1:14" x14ac:dyDescent="0.3">
      <c r="A2" t="s">
        <v>202</v>
      </c>
      <c r="B2">
        <v>0.16438224088424386</v>
      </c>
      <c r="C2">
        <v>124.37363731188117</v>
      </c>
      <c r="E2" t="s">
        <v>66</v>
      </c>
      <c r="F2">
        <v>25.031935161652605</v>
      </c>
      <c r="G2">
        <v>1.5412694860114715</v>
      </c>
      <c r="H2">
        <v>0.25335733191707244</v>
      </c>
      <c r="I2">
        <v>0.16438224088424386</v>
      </c>
      <c r="J2">
        <v>0.35036473015281244</v>
      </c>
      <c r="K2" s="25">
        <v>0.36596110142425675</v>
      </c>
      <c r="L2" s="25">
        <v>0.68927684304305448</v>
      </c>
      <c r="M2" s="25">
        <v>0.35036473015281244</v>
      </c>
    </row>
    <row r="3" spans="1:14" x14ac:dyDescent="0.3">
      <c r="A3" t="s">
        <v>203</v>
      </c>
      <c r="B3">
        <v>0.16438224088424386</v>
      </c>
      <c r="C3">
        <v>112.82229145255715</v>
      </c>
      <c r="E3" t="s">
        <v>67</v>
      </c>
      <c r="F3">
        <v>8.882596502083512</v>
      </c>
      <c r="G3">
        <v>2.8065325482354964</v>
      </c>
      <c r="H3">
        <v>0.44240121382791286</v>
      </c>
      <c r="I3">
        <v>0.15763266814990487</v>
      </c>
      <c r="J3">
        <v>0.35036473015281244</v>
      </c>
      <c r="K3">
        <v>95.255749896077361</v>
      </c>
    </row>
    <row r="4" spans="1:14" x14ac:dyDescent="0.3">
      <c r="A4" t="s">
        <v>204</v>
      </c>
      <c r="B4">
        <v>0.15763266814990487</v>
      </c>
      <c r="C4">
        <v>116.09688601409424</v>
      </c>
      <c r="E4" t="s">
        <v>69</v>
      </c>
      <c r="F4">
        <v>0.27111169102991423</v>
      </c>
      <c r="G4">
        <v>3.1173934843303797</v>
      </c>
      <c r="H4">
        <v>1.0922247269175491</v>
      </c>
      <c r="I4">
        <v>0.35036473015281244</v>
      </c>
      <c r="J4">
        <v>0.19965470509438668</v>
      </c>
      <c r="K4">
        <v>19.885898114427221</v>
      </c>
    </row>
    <row r="5" spans="1:14" x14ac:dyDescent="0.3">
      <c r="A5" t="s">
        <v>205</v>
      </c>
      <c r="B5">
        <v>0.15763266814990487</v>
      </c>
      <c r="C5">
        <v>96.772523799721455</v>
      </c>
      <c r="E5" t="s">
        <v>70</v>
      </c>
      <c r="F5">
        <v>6.8005339576619236E-2</v>
      </c>
      <c r="G5">
        <v>1.1383330527634061</v>
      </c>
      <c r="H5">
        <v>0.39883175285547801</v>
      </c>
      <c r="I5">
        <v>0.35036473015281244</v>
      </c>
      <c r="J5">
        <v>0.2137096924662919</v>
      </c>
      <c r="K5" t="s">
        <v>261</v>
      </c>
      <c r="L5" t="s">
        <v>259</v>
      </c>
      <c r="M5" t="s">
        <v>238</v>
      </c>
      <c r="N5" t="s">
        <v>260</v>
      </c>
    </row>
    <row r="6" spans="1:14" x14ac:dyDescent="0.3">
      <c r="A6" t="s">
        <v>206</v>
      </c>
      <c r="B6">
        <v>0.1576326681499049</v>
      </c>
      <c r="C6">
        <v>51.305698713446318</v>
      </c>
      <c r="E6" t="s">
        <v>59</v>
      </c>
      <c r="F6">
        <v>1.2565343104128937</v>
      </c>
      <c r="G6">
        <v>3.4691288051130833</v>
      </c>
      <c r="H6">
        <v>0.5468480297056667</v>
      </c>
      <c r="I6">
        <v>0.15763266814990487</v>
      </c>
      <c r="J6">
        <v>0.18398677812523287</v>
      </c>
      <c r="K6">
        <v>0.01</v>
      </c>
      <c r="L6">
        <v>0.32317635654000804</v>
      </c>
      <c r="M6">
        <v>0.61886717126424606</v>
      </c>
      <c r="N6">
        <v>0.30908708844465482</v>
      </c>
    </row>
    <row r="7" spans="1:14" x14ac:dyDescent="0.3">
      <c r="A7" t="s">
        <v>207</v>
      </c>
      <c r="B7">
        <v>0.15763266814990487</v>
      </c>
      <c r="C7">
        <v>40.514972569109119</v>
      </c>
      <c r="E7" t="s">
        <v>60</v>
      </c>
      <c r="F7">
        <v>0.77087724001891422</v>
      </c>
      <c r="G7">
        <v>7.1429330882120778</v>
      </c>
      <c r="H7">
        <v>1.1259596011111099</v>
      </c>
      <c r="I7">
        <v>0.1576326681499049</v>
      </c>
      <c r="J7">
        <v>0.19719392874189862</v>
      </c>
      <c r="K7">
        <v>1.4999999999999999E-2</v>
      </c>
      <c r="L7">
        <v>0.34456872898213237</v>
      </c>
      <c r="M7">
        <v>0.65407200715365021</v>
      </c>
      <c r="N7">
        <v>0.32972590929873358</v>
      </c>
    </row>
    <row r="8" spans="1:14" x14ac:dyDescent="0.3">
      <c r="A8" t="s">
        <v>208</v>
      </c>
      <c r="B8">
        <v>0.16220120384819151</v>
      </c>
      <c r="C8">
        <v>29.089853685404357</v>
      </c>
      <c r="E8" t="s">
        <v>253</v>
      </c>
      <c r="F8">
        <v>0.2556560606844126</v>
      </c>
      <c r="G8">
        <v>6.0472409675346555</v>
      </c>
      <c r="H8">
        <v>0.95324272865789994</v>
      </c>
      <c r="I8">
        <v>0.15763266814990487</v>
      </c>
      <c r="J8">
        <v>0.35810316249745311</v>
      </c>
      <c r="K8">
        <v>0.02</v>
      </c>
      <c r="L8">
        <v>0.36596110142425675</v>
      </c>
      <c r="M8">
        <v>0.68927684304305448</v>
      </c>
      <c r="N8">
        <v>0.35036473015281244</v>
      </c>
    </row>
    <row r="9" spans="1:14" x14ac:dyDescent="0.3">
      <c r="A9" t="s">
        <v>209</v>
      </c>
      <c r="B9">
        <v>0.19965470509438668</v>
      </c>
      <c r="C9">
        <v>42.899339507543168</v>
      </c>
      <c r="E9" t="s">
        <v>254</v>
      </c>
      <c r="F9">
        <v>0</v>
      </c>
      <c r="G9">
        <v>0</v>
      </c>
      <c r="H9">
        <v>0</v>
      </c>
      <c r="I9">
        <v>0.35810316249745311</v>
      </c>
      <c r="J9">
        <v>0.61862680329527819</v>
      </c>
      <c r="K9">
        <v>2.5000000000000001E-2</v>
      </c>
      <c r="L9">
        <v>0.38735347386638114</v>
      </c>
      <c r="M9">
        <v>0.72448167893245874</v>
      </c>
      <c r="N9">
        <v>0.37100355100689131</v>
      </c>
    </row>
    <row r="10" spans="1:14" x14ac:dyDescent="0.3">
      <c r="A10" t="s">
        <v>210</v>
      </c>
      <c r="B10">
        <v>0.19719392874189862</v>
      </c>
      <c r="C10">
        <v>54.460942891899279</v>
      </c>
      <c r="E10" t="s">
        <v>228</v>
      </c>
      <c r="F10">
        <v>0.70073451890397209</v>
      </c>
      <c r="G10">
        <v>1.3605627687494435</v>
      </c>
      <c r="H10">
        <v>0.48722183026546667</v>
      </c>
      <c r="I10">
        <v>0.35810316249745311</v>
      </c>
      <c r="J10">
        <v>0.35036473015281244</v>
      </c>
      <c r="K10">
        <v>0.03</v>
      </c>
      <c r="L10">
        <v>0.40874584630850552</v>
      </c>
      <c r="M10">
        <v>0.75968651482186289</v>
      </c>
      <c r="N10">
        <v>0.39164237186097006</v>
      </c>
    </row>
    <row r="11" spans="1:14" x14ac:dyDescent="0.3">
      <c r="A11" t="s">
        <v>211</v>
      </c>
      <c r="B11">
        <v>0.2137096924662919</v>
      </c>
      <c r="C11">
        <v>14.805074716572907</v>
      </c>
      <c r="E11" t="s">
        <v>229</v>
      </c>
      <c r="F11">
        <v>2.2682427363801154E-2</v>
      </c>
      <c r="G11">
        <v>5.6866372819326445E-2</v>
      </c>
      <c r="H11">
        <v>1.992397136761254E-2</v>
      </c>
      <c r="I11">
        <v>0.35036473015281244</v>
      </c>
      <c r="J11">
        <v>0.61862680329527819</v>
      </c>
      <c r="K11">
        <v>3.5000000000000003E-2</v>
      </c>
      <c r="L11">
        <v>0.43013821875062996</v>
      </c>
      <c r="M11">
        <v>0.79489135071126726</v>
      </c>
      <c r="N11">
        <v>0.41228119271504898</v>
      </c>
    </row>
    <row r="12" spans="1:14" x14ac:dyDescent="0.3">
      <c r="A12" t="s">
        <v>212</v>
      </c>
      <c r="B12">
        <v>0.20050594205610972</v>
      </c>
      <c r="C12">
        <v>69.266017608472183</v>
      </c>
      <c r="E12" t="s">
        <v>255</v>
      </c>
      <c r="F12">
        <v>0.12063054984907384</v>
      </c>
      <c r="G12">
        <v>3.5001169170646191</v>
      </c>
      <c r="H12">
        <v>1.2534029371116759</v>
      </c>
      <c r="I12">
        <v>0.35810316249745311</v>
      </c>
      <c r="J12">
        <v>0.6267034001337185</v>
      </c>
      <c r="K12">
        <v>0.04</v>
      </c>
      <c r="L12">
        <v>0.45153059119275429</v>
      </c>
      <c r="M12">
        <v>0.8300961866006713</v>
      </c>
      <c r="N12">
        <v>0.43292001356912768</v>
      </c>
    </row>
    <row r="13" spans="1:14" x14ac:dyDescent="0.3">
      <c r="A13" t="s">
        <v>213</v>
      </c>
      <c r="B13">
        <v>0.18398677812523287</v>
      </c>
      <c r="C13">
        <v>115.98937700516022</v>
      </c>
      <c r="E13" t="s">
        <v>63</v>
      </c>
      <c r="F13">
        <v>0.17442386067719509</v>
      </c>
      <c r="G13">
        <v>2.3638032842787435</v>
      </c>
      <c r="H13">
        <v>0.37261261868236645</v>
      </c>
      <c r="I13">
        <v>0.15763266814990487</v>
      </c>
      <c r="J13">
        <v>0.16220120384819153</v>
      </c>
      <c r="K13">
        <v>31.885233847914563</v>
      </c>
    </row>
    <row r="14" spans="1:14" x14ac:dyDescent="0.3">
      <c r="A14" t="s">
        <v>214</v>
      </c>
      <c r="B14">
        <v>0.15763266814990484</v>
      </c>
      <c r="C14">
        <v>8.1247304583074396</v>
      </c>
      <c r="E14" s="24" t="s">
        <v>230</v>
      </c>
      <c r="F14" s="24">
        <v>0.17913742591867288</v>
      </c>
      <c r="G14" s="24">
        <v>1.5687831328618429</v>
      </c>
      <c r="H14" s="24">
        <v>0.25445851272692832</v>
      </c>
      <c r="I14" s="24">
        <v>0.16220120384819153</v>
      </c>
      <c r="J14">
        <v>128.56985934193858</v>
      </c>
      <c r="K14">
        <v>41.314368967161961</v>
      </c>
    </row>
    <row r="15" spans="1:14" x14ac:dyDescent="0.3">
      <c r="A15" t="s">
        <v>215</v>
      </c>
      <c r="B15">
        <v>0.15763266814990487</v>
      </c>
      <c r="C15">
        <v>32.390242110801672</v>
      </c>
      <c r="E15" t="s">
        <v>172</v>
      </c>
      <c r="F15">
        <v>0.46907095188476866</v>
      </c>
      <c r="G15">
        <v>3.5924040888912341</v>
      </c>
      <c r="H15">
        <v>1.2586516892042372</v>
      </c>
      <c r="I15">
        <v>0.35036473015281244</v>
      </c>
      <c r="J15">
        <v>0.68927684304305448</v>
      </c>
      <c r="K15">
        <v>27.149667471458685</v>
      </c>
    </row>
    <row r="16" spans="1:14" x14ac:dyDescent="0.3">
      <c r="A16" t="s">
        <v>216</v>
      </c>
      <c r="B16">
        <v>0.15763266814990487</v>
      </c>
      <c r="C16">
        <v>29.172231618075632</v>
      </c>
    </row>
    <row r="17" spans="1:3" x14ac:dyDescent="0.3">
      <c r="A17" t="s">
        <v>217</v>
      </c>
      <c r="B17">
        <v>0.16220120384819153</v>
      </c>
      <c r="C17">
        <v>29.346655478752826</v>
      </c>
    </row>
    <row r="18" spans="1:3" x14ac:dyDescent="0.3">
      <c r="A18" t="s">
        <v>227</v>
      </c>
      <c r="B18">
        <v>2E-3</v>
      </c>
      <c r="C18">
        <v>1.958717816061848E-11</v>
      </c>
    </row>
    <row r="19" spans="1:3" x14ac:dyDescent="0.3">
      <c r="A19" t="s">
        <v>218</v>
      </c>
      <c r="B19">
        <v>128.56985934193858</v>
      </c>
      <c r="C19">
        <v>0.43593921928673118</v>
      </c>
    </row>
    <row r="20" spans="1:3" x14ac:dyDescent="0.3">
      <c r="A20" t="s">
        <v>219</v>
      </c>
      <c r="B20">
        <v>0.35810316249745311</v>
      </c>
      <c r="C20">
        <v>7.4517416119483801</v>
      </c>
    </row>
    <row r="21" spans="1:3" x14ac:dyDescent="0.3">
      <c r="A21" t="s">
        <v>220</v>
      </c>
      <c r="B21">
        <v>0.35810316249745311</v>
      </c>
      <c r="C21">
        <v>3.6949689082559241</v>
      </c>
    </row>
    <row r="22" spans="1:3" x14ac:dyDescent="0.3">
      <c r="A22" t="s">
        <v>251</v>
      </c>
      <c r="B22">
        <v>0.35810316249745311</v>
      </c>
      <c r="C22">
        <v>3.6949689082559241</v>
      </c>
    </row>
    <row r="23" spans="1:3" x14ac:dyDescent="0.3">
      <c r="A23" t="s">
        <v>221</v>
      </c>
      <c r="B23">
        <v>0.6267034001337185</v>
      </c>
      <c r="C23">
        <v>3.8155994581049977</v>
      </c>
    </row>
    <row r="24" spans="1:3" x14ac:dyDescent="0.3">
      <c r="A24" t="s">
        <v>222</v>
      </c>
      <c r="B24">
        <v>0.61862680329527819</v>
      </c>
      <c r="C24">
        <v>3.9780750585379279</v>
      </c>
    </row>
    <row r="25" spans="1:3" x14ac:dyDescent="0.3">
      <c r="A25" t="s">
        <v>252</v>
      </c>
      <c r="B25">
        <v>0.61862680329527819</v>
      </c>
      <c r="C25">
        <v>3.9780750585379279</v>
      </c>
    </row>
    <row r="26" spans="1:3" x14ac:dyDescent="0.3">
      <c r="A26" t="s">
        <v>223</v>
      </c>
      <c r="B26">
        <v>0.68927684304305448</v>
      </c>
      <c r="C26">
        <v>3.52817527388394</v>
      </c>
    </row>
    <row r="27" spans="1:3" x14ac:dyDescent="0.3">
      <c r="A27" t="s">
        <v>224</v>
      </c>
      <c r="B27">
        <v>0</v>
      </c>
      <c r="C27">
        <v>0</v>
      </c>
    </row>
    <row r="28" spans="1:3" x14ac:dyDescent="0.3">
      <c r="A28" s="24" t="s">
        <v>225</v>
      </c>
      <c r="B28" s="24">
        <v>0.35036473015281244</v>
      </c>
      <c r="C28" s="24">
        <v>3.0591043219991709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693F-D387-4367-8A44-8725A6CA7BA7}">
  <dimension ref="A1:AF33"/>
  <sheetViews>
    <sheetView topLeftCell="T1" workbookViewId="0">
      <selection activeCell="U21" sqref="U21"/>
    </sheetView>
  </sheetViews>
  <sheetFormatPr defaultColWidth="11.5546875" defaultRowHeight="14.4" x14ac:dyDescent="0.3"/>
  <sheetData>
    <row r="1" spans="1:32" x14ac:dyDescent="0.3">
      <c r="B1" t="s">
        <v>129</v>
      </c>
      <c r="C1" t="s">
        <v>37</v>
      </c>
      <c r="D1" t="s">
        <v>38</v>
      </c>
      <c r="E1" t="s">
        <v>39</v>
      </c>
      <c r="F1" t="s">
        <v>130</v>
      </c>
      <c r="G1" t="s">
        <v>131</v>
      </c>
      <c r="H1" t="s">
        <v>132</v>
      </c>
      <c r="I1" t="s">
        <v>133</v>
      </c>
      <c r="J1" t="s">
        <v>192</v>
      </c>
      <c r="K1" t="s">
        <v>193</v>
      </c>
      <c r="L1" t="s">
        <v>194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189</v>
      </c>
    </row>
    <row r="2" spans="1:32" x14ac:dyDescent="0.3">
      <c r="A2" t="s">
        <v>153</v>
      </c>
      <c r="B2" t="s">
        <v>154</v>
      </c>
      <c r="C2">
        <v>1</v>
      </c>
      <c r="D2">
        <v>-1</v>
      </c>
      <c r="X2">
        <v>-1</v>
      </c>
    </row>
    <row r="3" spans="1:32" x14ac:dyDescent="0.3">
      <c r="A3" t="s">
        <v>175</v>
      </c>
      <c r="B3">
        <v>0</v>
      </c>
      <c r="C3">
        <v>-1</v>
      </c>
      <c r="D3" t="s">
        <v>176</v>
      </c>
    </row>
    <row r="4" spans="1:32" x14ac:dyDescent="0.3">
      <c r="A4" t="s">
        <v>155</v>
      </c>
      <c r="B4" t="s">
        <v>156</v>
      </c>
      <c r="E4">
        <v>1</v>
      </c>
      <c r="F4">
        <v>-1</v>
      </c>
      <c r="Z4">
        <v>-1</v>
      </c>
    </row>
    <row r="5" spans="1:32" x14ac:dyDescent="0.3">
      <c r="A5" t="s">
        <v>186</v>
      </c>
      <c r="B5">
        <v>0</v>
      </c>
      <c r="E5">
        <v>-1</v>
      </c>
      <c r="F5" t="s">
        <v>177</v>
      </c>
    </row>
    <row r="6" spans="1:32" x14ac:dyDescent="0.3">
      <c r="A6" t="s">
        <v>37</v>
      </c>
      <c r="B6" t="s">
        <v>157</v>
      </c>
      <c r="M6">
        <v>1</v>
      </c>
      <c r="N6">
        <v>-1</v>
      </c>
      <c r="AA6">
        <v>1</v>
      </c>
    </row>
    <row r="7" spans="1:32" x14ac:dyDescent="0.3">
      <c r="A7" t="s">
        <v>38</v>
      </c>
      <c r="B7" t="s">
        <v>158</v>
      </c>
      <c r="J7">
        <v>1</v>
      </c>
      <c r="P7">
        <v>-1</v>
      </c>
      <c r="AB7">
        <v>1</v>
      </c>
    </row>
    <row r="8" spans="1:32" x14ac:dyDescent="0.3">
      <c r="A8" t="s">
        <v>59</v>
      </c>
      <c r="B8" t="s">
        <v>159</v>
      </c>
      <c r="F8">
        <v>1</v>
      </c>
      <c r="G8">
        <v>-1</v>
      </c>
      <c r="Q8">
        <v>1</v>
      </c>
      <c r="R8">
        <v>-1</v>
      </c>
    </row>
    <row r="9" spans="1:32" x14ac:dyDescent="0.3">
      <c r="A9" t="s">
        <v>178</v>
      </c>
      <c r="B9">
        <v>0</v>
      </c>
      <c r="F9">
        <v>-1</v>
      </c>
      <c r="G9" t="s">
        <v>180</v>
      </c>
    </row>
    <row r="10" spans="1:32" x14ac:dyDescent="0.3">
      <c r="A10" t="s">
        <v>60</v>
      </c>
      <c r="B10" t="s">
        <v>160</v>
      </c>
      <c r="G10">
        <v>1</v>
      </c>
      <c r="H10">
        <v>-1</v>
      </c>
      <c r="N10">
        <v>1</v>
      </c>
      <c r="O10">
        <v>-1</v>
      </c>
    </row>
    <row r="11" spans="1:32" x14ac:dyDescent="0.3">
      <c r="A11" t="s">
        <v>179</v>
      </c>
      <c r="B11">
        <v>0</v>
      </c>
      <c r="G11">
        <v>-1</v>
      </c>
      <c r="H11" t="s">
        <v>181</v>
      </c>
    </row>
    <row r="12" spans="1:32" x14ac:dyDescent="0.3">
      <c r="A12" t="s">
        <v>182</v>
      </c>
      <c r="B12">
        <v>0</v>
      </c>
      <c r="O12">
        <v>1</v>
      </c>
      <c r="P12">
        <v>1</v>
      </c>
      <c r="Q12">
        <v>-1</v>
      </c>
    </row>
    <row r="13" spans="1:32" x14ac:dyDescent="0.3">
      <c r="A13" t="s">
        <v>161</v>
      </c>
      <c r="B13" t="s">
        <v>162</v>
      </c>
      <c r="K13">
        <v>-1</v>
      </c>
      <c r="L13">
        <v>1</v>
      </c>
    </row>
    <row r="14" spans="1:32" x14ac:dyDescent="0.3">
      <c r="A14" t="s">
        <v>197</v>
      </c>
      <c r="B14">
        <v>0</v>
      </c>
      <c r="K14" t="s">
        <v>198</v>
      </c>
      <c r="L14">
        <v>-1</v>
      </c>
    </row>
    <row r="15" spans="1:32" x14ac:dyDescent="0.3">
      <c r="A15" t="s">
        <v>64</v>
      </c>
      <c r="B15" t="s">
        <v>163</v>
      </c>
      <c r="K15">
        <v>1</v>
      </c>
      <c r="M15">
        <v>-1</v>
      </c>
      <c r="W15">
        <v>-1</v>
      </c>
    </row>
    <row r="16" spans="1:32" x14ac:dyDescent="0.3">
      <c r="A16" t="s">
        <v>183</v>
      </c>
      <c r="B16">
        <v>0</v>
      </c>
      <c r="K16">
        <v>-1</v>
      </c>
      <c r="M16" t="s">
        <v>184</v>
      </c>
    </row>
    <row r="17" spans="1:32" x14ac:dyDescent="0.3">
      <c r="A17" t="s">
        <v>164</v>
      </c>
      <c r="B17" t="s">
        <v>165</v>
      </c>
      <c r="S17">
        <v>1</v>
      </c>
      <c r="T17">
        <v>-1</v>
      </c>
      <c r="AE17">
        <v>-1</v>
      </c>
    </row>
    <row r="18" spans="1:32" x14ac:dyDescent="0.3">
      <c r="A18" t="s">
        <v>185</v>
      </c>
      <c r="B18">
        <v>0</v>
      </c>
      <c r="S18">
        <v>-1</v>
      </c>
      <c r="T18" t="s">
        <v>187</v>
      </c>
    </row>
    <row r="19" spans="1:32" x14ac:dyDescent="0.3">
      <c r="A19" t="s">
        <v>166</v>
      </c>
      <c r="B19" t="s">
        <v>167</v>
      </c>
      <c r="U19">
        <v>1</v>
      </c>
      <c r="V19">
        <v>-1</v>
      </c>
      <c r="AF19">
        <v>1</v>
      </c>
    </row>
    <row r="20" spans="1:32" x14ac:dyDescent="0.3">
      <c r="A20" t="s">
        <v>188</v>
      </c>
      <c r="B20">
        <v>0</v>
      </c>
      <c r="AE20" t="s">
        <v>190</v>
      </c>
      <c r="AF20">
        <v>-1</v>
      </c>
    </row>
    <row r="21" spans="1:32" x14ac:dyDescent="0.3">
      <c r="A21" t="s">
        <v>168</v>
      </c>
      <c r="B21" t="s">
        <v>169</v>
      </c>
      <c r="T21">
        <v>1</v>
      </c>
      <c r="U21">
        <v>-1</v>
      </c>
    </row>
    <row r="22" spans="1:32" x14ac:dyDescent="0.3">
      <c r="A22" t="s">
        <v>174</v>
      </c>
      <c r="B22">
        <v>0</v>
      </c>
      <c r="T22">
        <v>-1</v>
      </c>
      <c r="U22" t="s">
        <v>199</v>
      </c>
    </row>
    <row r="23" spans="1:32" x14ac:dyDescent="0.3">
      <c r="A23" t="s">
        <v>170</v>
      </c>
      <c r="B23" t="s">
        <v>171</v>
      </c>
      <c r="I23">
        <v>1</v>
      </c>
      <c r="L23">
        <v>-1</v>
      </c>
      <c r="S23">
        <v>-1</v>
      </c>
      <c r="V23">
        <v>1</v>
      </c>
    </row>
    <row r="24" spans="1:32" x14ac:dyDescent="0.3">
      <c r="A24" t="s">
        <v>191</v>
      </c>
      <c r="B24">
        <v>0</v>
      </c>
      <c r="I24">
        <v>-1</v>
      </c>
      <c r="K24" t="s">
        <v>195</v>
      </c>
    </row>
    <row r="25" spans="1:32" x14ac:dyDescent="0.3">
      <c r="A25" t="s">
        <v>172</v>
      </c>
      <c r="B25" t="s">
        <v>173</v>
      </c>
      <c r="W25">
        <v>1</v>
      </c>
      <c r="Y25">
        <v>1</v>
      </c>
      <c r="AC25">
        <v>-1</v>
      </c>
      <c r="AD25">
        <v>-1</v>
      </c>
    </row>
    <row r="32" spans="1:32" x14ac:dyDescent="0.3">
      <c r="A32" t="s">
        <v>196</v>
      </c>
    </row>
    <row r="33" spans="1:1" x14ac:dyDescent="0.3">
      <c r="A3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</vt:lpstr>
      <vt:lpstr>rc</vt:lpstr>
      <vt:lpstr>nt</vt:lpstr>
      <vt:lpstr>nc</vt:lpstr>
      <vt:lpstr>Energy_Exergy</vt:lpstr>
      <vt:lpstr>Exergoeconomico</vt:lpstr>
      <vt:lpstr>EXERGO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Iglesias</dc:creator>
  <cp:lastModifiedBy>Adrian Iglesias</cp:lastModifiedBy>
  <dcterms:created xsi:type="dcterms:W3CDTF">2026-01-05T23:58:20Z</dcterms:created>
  <dcterms:modified xsi:type="dcterms:W3CDTF">2026-06-17T21:46:38Z</dcterms:modified>
</cp:coreProperties>
</file>