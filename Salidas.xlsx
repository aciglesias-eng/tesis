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Artículo\CODIGO\Codigos ORC_SBCR_Solar_Biomass - Segunda Actualizacion Jos\"/>
    </mc:Choice>
  </mc:AlternateContent>
  <xr:revisionPtr revIDLastSave="0" documentId="13_ncr:1_{301377DA-2131-4F35-B59D-431B342283DF}" xr6:coauthVersionLast="47" xr6:coauthVersionMax="47" xr10:uidLastSave="{00000000-0000-0000-0000-000000000000}"/>
  <bookViews>
    <workbookView xWindow="-108" yWindow="-108" windowWidth="23256" windowHeight="13176" activeTab="1" xr2:uid="{C4CE93A3-0861-4D2C-B953-37868A8DFB1C}"/>
  </bookViews>
  <sheets>
    <sheet name="Energy_Exergy" sheetId="2" r:id="rId1"/>
    <sheet name="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<sst xmlns="http://schemas.openxmlformats.org/spreadsheetml/2006/main" count="141" uniqueCount="126">
  <si>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</si>
  <si>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</si>
  <si>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</si>
  <si>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</si>
  <si>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</si>
  <si>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</si>
  <si>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</si>
  <si>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</si>
  <si>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</si>
  <si>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</si>
  <si>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</si>
  <si>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</si>
  <si>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</si>
  <si>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</si>
  <si>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</si>
  <si>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</si>
  <si>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</si>
  <si>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</si>
  <si>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</si>
  <si>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</si>
  <si>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</si>
  <si>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</si>
  <si>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</si>
  <si>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</si>
  <si>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</si>
  <si>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</si>
  <si>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</si>
  <si>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</si>
  <si>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</si>
  <si>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</si>
  <si>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</si>
  <si>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</si>
  <si>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</si>
  <si>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</si>
  <si>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</si>
  <si>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</si>
  <si>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</si>
  <si>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</si>
  <si>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</si>
  <si>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</si>
  <si>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</si>
  <si>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</si>
  <si>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</si>
  <si>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</si>
  <si>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</si>
  <si>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</si>
  <si>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</si>
  <si>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</si>
  <si>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</si>
  <si>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</si>
  <si>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</si>
  <si>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</si>
  <si>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</si>
  <si>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</si>
  <si>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</si>
  <si>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</si>
  <si>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</si>
  <si>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</si>
  <si>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</si>
  <si>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</si>
  <si>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</si>
  <si>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</si>
  <si>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</si>
  <si>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</si>
  <si>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</si>
  <si>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</si>
  <si>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</si>
  <si>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</si>
  <si>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</si>
  <si>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</si>
  <si>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</si>
  <si>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</si>
  <si>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</si>
  <si>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</si>
  <si>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</si>
  <si>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</si>
  <si>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</si>
  <si>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</si>
  <si>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</si>
  <si>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</si>
  <si>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</si>
  <si>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</si>
  <si>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</si>
  <si>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</si>
  <si>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</si>
  <si>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</si>
  <si>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</si>
  <si>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</si>
  <si>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</si>
  <si>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</si>
  <si>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</si>
  <si>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</si>
  <si>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</si>
  <si>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</si>
  <si>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</si>
  <si>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</si>
  <si>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</si>
  <si>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</si>
  <si>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</si>
  <si>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</si>
  <si>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</si>
  <si>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</si>
  <si>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</si>
  <si>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</si>
  <si>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</si>
  <si>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</si>
  <si>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</si>
  <si>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</si>
  <si>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</si>
  <si>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</si>
  <si>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</si>
  <si>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</si>
  <si>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</si>
  <si>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</si>
  <si>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</si>
  <si>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</si>
  <si>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</si>
  <si>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</si>
  <si>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</si>
  <si>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</si>
  <si>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</si>
  <si>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</si>
  <si>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</si>
  <si>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 PEM R</t>
  </si>
  <si>
    <t>Y.PEM</t>
  </si>
  <si>
    <t>Y total [kgCO2-eq/kWh]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</si>
</sst>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/>
    <xf numFmtId="9" fontId="0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20</xdr:col>
      <xdr:colOff>80850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55527" y="5444836"/>
          <a:ext cx="10325995" cy="49381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topLeftCell="J1" zoomScale="115" zoomScaleNormal="115" workbookViewId="0">
      <selection activeCell="R4" sqref="R4:R19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2" bestFit="1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28" t="s">
        <v>56</v>
      </c>
      <c r="L2" s="28"/>
      <c r="N2" s="28" t="s">
        <v>65</v>
      </c>
      <c r="O2" s="28"/>
      <c r="Q2" s="28" t="s">
        <v>116</v>
      </c>
      <c r="R2" s="28"/>
    </row>
    <row r="3" spans="2:18" x14ac:dyDescent="0.3">
      <c r="B3" s="3">
        <v>1</v>
      </c>
      <c r="C3" s="4">
        <v>1073.1500000000001</v>
      </c>
      <c r="D3" s="5">
        <v>25</v>
      </c>
      <c r="E3" s="4">
        <v>1350.0381316636626</v>
      </c>
      <c r="F3" s="7">
        <v>3.0305681085599816</v>
      </c>
      <c r="G3" s="4">
        <v>10</v>
      </c>
      <c r="H3" s="4">
        <v>756.61237274082237</v>
      </c>
      <c r="I3" s="4">
        <f>C3-273.15</f>
        <v>800.00000000000011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1018.1289616795918</v>
      </c>
      <c r="D4" s="5">
        <v>17.482517482517483</v>
      </c>
      <c r="E4" s="4">
        <v>1281.2341664776559</v>
      </c>
      <c r="F4" s="7">
        <v>3.035664888414034</v>
      </c>
      <c r="G4" s="4">
        <v>10</v>
      </c>
      <c r="H4" s="4">
        <v>686.28880264133011</v>
      </c>
      <c r="I4" s="4">
        <f t="shared" ref="I4:I42" si="0">C4-273.15</f>
        <v>744.97896167959186</v>
      </c>
      <c r="K4" s="9" t="s">
        <v>42</v>
      </c>
      <c r="L4" s="7">
        <v>1.7979758880009502</v>
      </c>
      <c r="N4" s="9" t="s">
        <v>66</v>
      </c>
      <c r="O4" s="10">
        <v>688.03965186006621</v>
      </c>
      <c r="Q4" s="13" t="s">
        <v>98</v>
      </c>
      <c r="R4">
        <v>916.98727526679568</v>
      </c>
    </row>
    <row r="5" spans="2:18" x14ac:dyDescent="0.3">
      <c r="B5" s="3">
        <v>3</v>
      </c>
      <c r="C5" s="4">
        <v>1073.1500000000001</v>
      </c>
      <c r="D5" s="5">
        <v>17.482517482517483</v>
      </c>
      <c r="E5" s="4">
        <v>1351.4823193165744</v>
      </c>
      <c r="F5" s="7">
        <v>3.1028601038812176</v>
      </c>
      <c r="G5" s="4">
        <v>10</v>
      </c>
      <c r="H5" s="4">
        <v>736.50270198870771</v>
      </c>
      <c r="I5" s="4">
        <f t="shared" si="0"/>
        <v>800.00000000000011</v>
      </c>
      <c r="K5" s="9" t="s">
        <v>43</v>
      </c>
      <c r="L5" s="7">
        <v>0.70248152838918376</v>
      </c>
      <c r="N5" s="9" t="s">
        <v>67</v>
      </c>
      <c r="O5" s="10">
        <v>1199.1350689643341</v>
      </c>
      <c r="Q5" s="13" t="s">
        <v>99</v>
      </c>
      <c r="R5">
        <v>830.65281683265493</v>
      </c>
    </row>
    <row r="6" spans="2:18" x14ac:dyDescent="0.3">
      <c r="B6" s="3">
        <v>4</v>
      </c>
      <c r="C6" s="4">
        <v>976.11427576830124</v>
      </c>
      <c r="D6" s="5">
        <v>9.1240875912408761</v>
      </c>
      <c r="E6" s="4">
        <v>1231.5688124201411</v>
      </c>
      <c r="F6" s="7">
        <v>3.1121411727413726</v>
      </c>
      <c r="G6" s="4">
        <v>10</v>
      </c>
      <c r="H6" s="4">
        <v>613.82204441161923</v>
      </c>
      <c r="I6" s="4">
        <f t="shared" si="0"/>
        <v>702.96427576830126</v>
      </c>
      <c r="K6" s="13" t="s">
        <v>47</v>
      </c>
      <c r="L6" s="7">
        <v>2.5004574163901339</v>
      </c>
      <c r="N6" s="9" t="s">
        <v>68</v>
      </c>
      <c r="O6" s="10">
        <v>71.774211786387255</v>
      </c>
      <c r="Q6" s="13" t="s">
        <v>100</v>
      </c>
      <c r="R6">
        <v>6850.0253590880538</v>
      </c>
    </row>
    <row r="7" spans="2:18" x14ac:dyDescent="0.3">
      <c r="B7" s="3">
        <v>5</v>
      </c>
      <c r="C7" s="4">
        <v>580.59332858273865</v>
      </c>
      <c r="D7" s="5">
        <v>9.1240875912408761</v>
      </c>
      <c r="E7" s="4">
        <v>758.75704305028523</v>
      </c>
      <c r="F7" s="7">
        <v>2.4934653765384365</v>
      </c>
      <c r="G7" s="4">
        <v>10</v>
      </c>
      <c r="H7" s="4">
        <v>325.46846367966873</v>
      </c>
      <c r="I7" s="4">
        <f t="shared" si="0"/>
        <v>307.44332858273867</v>
      </c>
      <c r="K7" s="9" t="s">
        <v>44</v>
      </c>
      <c r="L7" s="7">
        <v>4.8493514799902702</v>
      </c>
      <c r="N7" s="9" t="s">
        <v>69</v>
      </c>
      <c r="O7" s="10">
        <v>-386.40079286911646</v>
      </c>
      <c r="Q7" s="13" t="s">
        <v>105</v>
      </c>
      <c r="R7">
        <v>2723.6906468307247</v>
      </c>
    </row>
    <row r="8" spans="2:18" x14ac:dyDescent="0.3">
      <c r="B8" s="3">
        <v>6</v>
      </c>
      <c r="C8" s="4">
        <v>435.43287838933054</v>
      </c>
      <c r="D8" s="5">
        <v>9.1240875912408761</v>
      </c>
      <c r="E8" s="4">
        <v>591.19593244306282</v>
      </c>
      <c r="F8" s="7">
        <v>2.1610419768753544</v>
      </c>
      <c r="G8" s="4">
        <v>10</v>
      </c>
      <c r="H8" s="4">
        <v>257.0193896819942</v>
      </c>
      <c r="I8" s="4">
        <f t="shared" si="0"/>
        <v>162.28287838933056</v>
      </c>
      <c r="K8" s="9" t="s">
        <v>45</v>
      </c>
      <c r="L8" s="7">
        <v>1.6756111060722243</v>
      </c>
      <c r="N8" s="9" t="s">
        <v>70</v>
      </c>
      <c r="O8" s="10">
        <v>-188.73788675888972</v>
      </c>
      <c r="Q8" s="13" t="s">
        <v>104</v>
      </c>
      <c r="R8">
        <v>150.85917384920415</v>
      </c>
    </row>
    <row r="9" spans="2:18" x14ac:dyDescent="0.3">
      <c r="B9" s="3" t="s">
        <v>29</v>
      </c>
      <c r="C9" s="4">
        <v>435.43287838933054</v>
      </c>
      <c r="D9" s="5">
        <v>9.1240875912408761</v>
      </c>
      <c r="E9" s="4">
        <v>591.19593244306282</v>
      </c>
      <c r="F9" s="7">
        <v>2.1610419768753544</v>
      </c>
      <c r="G9" s="4">
        <v>7.9944855772860111</v>
      </c>
      <c r="H9" s="4">
        <v>257.0193896819942</v>
      </c>
      <c r="I9" s="4">
        <f t="shared" si="0"/>
        <v>162.28287838933056</v>
      </c>
      <c r="K9" s="9" t="s">
        <v>48</v>
      </c>
      <c r="L9" s="7">
        <v>0.11033034486553291</v>
      </c>
      <c r="N9" s="9" t="s">
        <v>71</v>
      </c>
      <c r="O9" s="10">
        <v>-5.8779815586019524E-2</v>
      </c>
      <c r="Q9" s="23" t="s">
        <v>101</v>
      </c>
      <c r="R9" s="24">
        <v>4757.3674529323171</v>
      </c>
    </row>
    <row r="10" spans="2:18" x14ac:dyDescent="0.3">
      <c r="B10" s="3" t="s">
        <v>30</v>
      </c>
      <c r="C10" s="4">
        <v>423.3557736165609</v>
      </c>
      <c r="D10" s="5">
        <v>9.1240875912408761</v>
      </c>
      <c r="E10" s="4">
        <v>0.57659650223683723</v>
      </c>
      <c r="F10" s="7">
        <v>2.1270382629381421E-3</v>
      </c>
      <c r="G10" s="4">
        <v>7.9944855772860111</v>
      </c>
      <c r="H10" s="4">
        <v>0.25257199616171355</v>
      </c>
      <c r="I10" s="4">
        <f t="shared" si="0"/>
        <v>150.20577361656092</v>
      </c>
      <c r="K10" s="9" t="s">
        <v>49</v>
      </c>
      <c r="L10" s="7">
        <v>0.68666556854253946</v>
      </c>
      <c r="N10" s="9" t="s">
        <v>72</v>
      </c>
      <c r="O10" s="10">
        <v>1312.0360411963943</v>
      </c>
      <c r="Q10" s="13" t="s">
        <v>102</v>
      </c>
      <c r="R10">
        <v>58326.910191272655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7.9944855772860111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0.12544275752191905</v>
      </c>
      <c r="N11" s="9" t="s">
        <v>73</v>
      </c>
      <c r="O11" s="10">
        <v>71.715431970801234</v>
      </c>
      <c r="Q11" s="13" t="s">
        <v>103</v>
      </c>
      <c r="R11">
        <v>101653.79754728591</v>
      </c>
    </row>
    <row r="12" spans="2:18" x14ac:dyDescent="0.3">
      <c r="B12" s="3" t="s">
        <v>32</v>
      </c>
      <c r="C12" s="4">
        <v>346.62433578909861</v>
      </c>
      <c r="D12" s="5">
        <v>9.1240875912408761</v>
      </c>
      <c r="E12" s="4">
        <v>0.46883148724964824</v>
      </c>
      <c r="F12" s="7">
        <v>1.844389053247172E-3</v>
      </c>
      <c r="G12" s="4">
        <v>7.9944855772860111</v>
      </c>
      <c r="H12" s="4">
        <v>0.22907884304388729</v>
      </c>
      <c r="I12" s="4">
        <f t="shared" si="0"/>
        <v>73.474335789098632</v>
      </c>
      <c r="K12" s="9" t="s">
        <v>51</v>
      </c>
      <c r="L12" s="7">
        <v>0.92243867092999143</v>
      </c>
      <c r="N12" s="11" t="s">
        <v>74</v>
      </c>
      <c r="O12" s="12">
        <v>1383.7514731671954</v>
      </c>
      <c r="Q12" s="13" t="s">
        <v>106</v>
      </c>
      <c r="R12">
        <v>6084.4865460826932</v>
      </c>
    </row>
    <row r="13" spans="2:18" x14ac:dyDescent="0.3">
      <c r="B13" s="3" t="s">
        <v>33</v>
      </c>
      <c r="C13" s="4">
        <v>344.39458549639238</v>
      </c>
      <c r="D13" s="5">
        <v>9.1240875912408761</v>
      </c>
      <c r="E13" s="4">
        <v>464.67130036926602</v>
      </c>
      <c r="F13" s="7">
        <v>1.8323480555267959</v>
      </c>
      <c r="G13" s="4">
        <v>7.9944855772860111</v>
      </c>
      <c r="H13" s="4">
        <v>228.50867963383527</v>
      </c>
      <c r="I13" s="4">
        <f t="shared" si="0"/>
        <v>71.244585496392403</v>
      </c>
      <c r="K13" s="9" t="s">
        <v>52</v>
      </c>
      <c r="L13" s="7">
        <v>0.72305037797389082</v>
      </c>
      <c r="Q13" s="13" t="s">
        <v>107</v>
      </c>
      <c r="R13">
        <v>-14690.262623456645</v>
      </c>
    </row>
    <row r="14" spans="2:18" x14ac:dyDescent="0.3">
      <c r="B14" s="3" t="s">
        <v>34</v>
      </c>
      <c r="C14" s="4">
        <v>435.43287838933054</v>
      </c>
      <c r="D14" s="5">
        <v>9.1240875912408761</v>
      </c>
      <c r="E14" s="4">
        <v>591.19593244306282</v>
      </c>
      <c r="F14" s="7">
        <v>2.1610419768753544</v>
      </c>
      <c r="G14" s="4">
        <v>2.0055144227139889</v>
      </c>
      <c r="H14" s="4">
        <v>257.0193896819942</v>
      </c>
      <c r="I14" s="4">
        <f t="shared" si="0"/>
        <v>162.28287838933056</v>
      </c>
      <c r="K14" s="9" t="s">
        <v>54</v>
      </c>
      <c r="L14" s="7">
        <v>0.12767286098529926</v>
      </c>
      <c r="N14" s="27" t="s">
        <v>75</v>
      </c>
      <c r="O14" s="27"/>
      <c r="Q14" s="13" t="s">
        <v>108</v>
      </c>
      <c r="R14">
        <v>-7175.4747263768222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7.9944855772860111</v>
      </c>
      <c r="H15" s="4">
        <v>224.33075530171814</v>
      </c>
      <c r="I15" s="4">
        <f t="shared" si="0"/>
        <v>55</v>
      </c>
      <c r="K15" s="9" t="s">
        <v>53</v>
      </c>
      <c r="L15" s="7">
        <v>0.85072323895919011</v>
      </c>
      <c r="N15" s="9" t="s">
        <v>80</v>
      </c>
      <c r="O15" s="10">
        <v>7.7745474285568061</v>
      </c>
      <c r="Q15" s="13" t="s">
        <v>109</v>
      </c>
      <c r="R15">
        <v>-2.2347027849124075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7.9944855772860111</v>
      </c>
      <c r="H16" s="4">
        <v>268.76481394998945</v>
      </c>
      <c r="I16" s="4">
        <f t="shared" si="0"/>
        <v>134.77598052767183</v>
      </c>
      <c r="K16" s="9" t="s">
        <v>46</v>
      </c>
      <c r="L16" s="7">
        <v>3.3258554014030113E-2</v>
      </c>
      <c r="N16" s="9" t="s">
        <v>81</v>
      </c>
      <c r="O16" s="10">
        <v>52.471841055808</v>
      </c>
      <c r="Q16" s="13" t="s">
        <v>110</v>
      </c>
      <c r="R16">
        <v>14936.432649657721</v>
      </c>
    </row>
    <row r="17" spans="2:25" x14ac:dyDescent="0.3">
      <c r="B17" s="3">
        <v>9</v>
      </c>
      <c r="C17" s="4">
        <v>547.68745921507718</v>
      </c>
      <c r="D17" s="5">
        <v>25</v>
      </c>
      <c r="E17" s="4">
        <v>685.30539614040072</v>
      </c>
      <c r="F17" s="7">
        <v>2.1800807088725671</v>
      </c>
      <c r="G17" s="4">
        <v>7.9944855772860111</v>
      </c>
      <c r="H17" s="4">
        <v>345.45245543436323</v>
      </c>
      <c r="I17" s="4">
        <f t="shared" si="0"/>
        <v>274.53745921507721</v>
      </c>
      <c r="K17" s="11" t="s">
        <v>55</v>
      </c>
      <c r="L17" s="16">
        <v>-0.29815580239591893</v>
      </c>
      <c r="N17" s="9" t="s">
        <v>82</v>
      </c>
      <c r="O17" s="10">
        <v>53.374586045417935</v>
      </c>
      <c r="Q17" s="13" t="s">
        <v>111</v>
      </c>
      <c r="R17">
        <v>12158.725147647143</v>
      </c>
    </row>
    <row r="18" spans="2:25" x14ac:dyDescent="0.3">
      <c r="B18" s="3">
        <v>10</v>
      </c>
      <c r="C18" s="4">
        <v>547.68745921507718</v>
      </c>
      <c r="D18" s="5">
        <v>25</v>
      </c>
      <c r="E18" s="4">
        <v>685.30539614040072</v>
      </c>
      <c r="F18" s="7">
        <v>2.1800807088725671</v>
      </c>
      <c r="G18" s="4">
        <v>2.0055144227139889</v>
      </c>
      <c r="H18" s="4">
        <v>345.45245543436323</v>
      </c>
      <c r="I18" s="4">
        <f t="shared" si="0"/>
        <v>274.53745921507721</v>
      </c>
      <c r="N18" s="9" t="s">
        <v>83</v>
      </c>
      <c r="O18" s="10">
        <v>54.014275766007323</v>
      </c>
      <c r="Q18" s="13" t="s">
        <v>112</v>
      </c>
      <c r="R18">
        <v>2032352.056903265</v>
      </c>
    </row>
    <row r="19" spans="2:25" x14ac:dyDescent="0.3">
      <c r="B19" s="3">
        <v>11</v>
      </c>
      <c r="C19" s="4">
        <v>547.68745921507718</v>
      </c>
      <c r="D19" s="5">
        <v>25</v>
      </c>
      <c r="E19" s="4">
        <v>685.30539614040072</v>
      </c>
      <c r="F19" s="7">
        <v>2.1800807088725671</v>
      </c>
      <c r="G19" s="4">
        <v>10</v>
      </c>
      <c r="H19" s="4">
        <v>345.45245543436323</v>
      </c>
      <c r="I19" s="4">
        <f t="shared" si="0"/>
        <v>274.53745921507721</v>
      </c>
      <c r="K19" s="27" t="s">
        <v>58</v>
      </c>
      <c r="L19" s="27"/>
      <c r="N19" s="9" t="s">
        <v>84</v>
      </c>
      <c r="O19" s="10">
        <v>55.339933569630354</v>
      </c>
      <c r="Q19" s="13" t="s">
        <v>124</v>
      </c>
      <c r="R19">
        <v>54097.709945397604</v>
      </c>
    </row>
    <row r="20" spans="2:25" x14ac:dyDescent="0.3">
      <c r="B20" s="3">
        <v>12</v>
      </c>
      <c r="C20" s="4">
        <v>932.83907702081467</v>
      </c>
      <c r="D20" s="5">
        <v>25</v>
      </c>
      <c r="E20" s="4">
        <v>1170.2405428635675</v>
      </c>
      <c r="F20" s="7">
        <v>2.8510501836319815</v>
      </c>
      <c r="G20" s="4">
        <v>10</v>
      </c>
      <c r="H20" s="4">
        <v>630.33805325801075</v>
      </c>
      <c r="I20" s="4">
        <f t="shared" si="0"/>
        <v>659.68907702081469</v>
      </c>
      <c r="K20" s="13" t="s">
        <v>59</v>
      </c>
      <c r="L20" s="4">
        <v>159.02185344711796</v>
      </c>
      <c r="N20" s="9" t="s">
        <v>85</v>
      </c>
      <c r="O20" s="10">
        <v>3.4933609588634824</v>
      </c>
      <c r="Q20" s="28" t="s">
        <v>117</v>
      </c>
      <c r="R20" s="28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1.7897056695309543</v>
      </c>
      <c r="H21" s="4">
        <v>0.52460446529691762</v>
      </c>
      <c r="I21" s="4">
        <f t="shared" si="0"/>
        <v>40</v>
      </c>
      <c r="K21" s="13" t="s">
        <v>60</v>
      </c>
      <c r="L21" s="4">
        <v>63.229887799023224</v>
      </c>
      <c r="N21" s="9" t="s">
        <v>86</v>
      </c>
      <c r="O21" s="10">
        <v>22.489305649899514</v>
      </c>
      <c r="Q21" s="22" t="s">
        <v>118</v>
      </c>
      <c r="R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-0.37994748587359245</v>
      </c>
      <c r="G22" s="4">
        <v>1.7897056695309543</v>
      </c>
      <c r="H22" s="4">
        <v>0.55744775153482984</v>
      </c>
      <c r="I22" s="4">
        <f t="shared" si="0"/>
        <v>40.008357510841222</v>
      </c>
      <c r="K22" s="13" t="s">
        <v>61</v>
      </c>
      <c r="L22" s="4">
        <v>21.287660768567079</v>
      </c>
      <c r="N22" s="9" t="s">
        <v>87</v>
      </c>
      <c r="O22" s="6">
        <v>52.415130655682205</v>
      </c>
      <c r="Q22" s="23" t="s">
        <v>113</v>
      </c>
      <c r="R22" s="24">
        <v>37353.391068248107</v>
      </c>
      <c r="T22" s="25"/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1.7897056695309543</v>
      </c>
      <c r="H23" s="4">
        <v>6.518635522826691</v>
      </c>
      <c r="I23" s="4">
        <f t="shared" si="0"/>
        <v>74.096480589479199</v>
      </c>
      <c r="K23" s="13" t="s">
        <v>62</v>
      </c>
      <c r="L23" s="4">
        <v>19.283425035580251</v>
      </c>
      <c r="N23" s="9" t="s">
        <v>88</v>
      </c>
      <c r="O23" s="6">
        <v>23.133959295545651</v>
      </c>
      <c r="Q23" s="23" t="s">
        <v>114</v>
      </c>
      <c r="R23" s="24">
        <v>2135419.8232024489</v>
      </c>
      <c r="T23" s="25"/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1.7897056695309543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3.5021630107067545</v>
      </c>
      <c r="N24" s="11" t="s">
        <v>89</v>
      </c>
      <c r="O24" s="15">
        <v>23.136921933126388</v>
      </c>
      <c r="Q24" s="23" t="s">
        <v>115</v>
      </c>
      <c r="R24" s="24">
        <v>101198.51533209301</v>
      </c>
      <c r="S24" s="9"/>
      <c r="T24" s="25"/>
      <c r="U24" s="9"/>
      <c r="V24" s="9"/>
      <c r="W24" s="9"/>
      <c r="X24" s="9"/>
      <c r="Y24" s="9"/>
    </row>
    <row r="25" spans="2:25" x14ac:dyDescent="0.3">
      <c r="B25" s="3">
        <v>15</v>
      </c>
      <c r="C25" s="4">
        <v>396.43287838933054</v>
      </c>
      <c r="D25" s="5">
        <v>31.569242975234697</v>
      </c>
      <c r="E25" s="4">
        <v>383.09182021380718</v>
      </c>
      <c r="F25" s="7">
        <v>1.1002468147744369</v>
      </c>
      <c r="G25" s="4">
        <v>1.7897056695309543</v>
      </c>
      <c r="H25" s="4">
        <v>74.651133136999675</v>
      </c>
      <c r="I25" s="4">
        <f t="shared" si="0"/>
        <v>123.28287838933056</v>
      </c>
      <c r="K25" s="13" t="s">
        <v>64</v>
      </c>
      <c r="L25" s="4">
        <v>110.44125389851233</v>
      </c>
      <c r="Q25" s="9"/>
      <c r="R25" s="9"/>
      <c r="S25" s="9"/>
      <c r="T25" s="9"/>
      <c r="U25" s="9"/>
      <c r="V25" s="9"/>
      <c r="W25" s="9"/>
      <c r="X25" s="9"/>
      <c r="Y25" s="9"/>
    </row>
    <row r="26" spans="2:25" x14ac:dyDescent="0.3">
      <c r="B26" s="3">
        <v>16</v>
      </c>
      <c r="C26" s="4">
        <v>368.13790080168786</v>
      </c>
      <c r="D26" s="5">
        <v>7.8923107438086744</v>
      </c>
      <c r="E26" s="4">
        <v>342.98790088879446</v>
      </c>
      <c r="F26" s="7">
        <v>1.119604713516257</v>
      </c>
      <c r="G26" s="4">
        <v>1.7897056695309543</v>
      </c>
      <c r="H26" s="4">
        <v>28.775656302113202</v>
      </c>
      <c r="I26" s="4">
        <f t="shared" si="0"/>
        <v>94.987900801687886</v>
      </c>
      <c r="N26" s="27" t="s">
        <v>76</v>
      </c>
      <c r="O26" s="27"/>
      <c r="Q26" s="9"/>
      <c r="R26" s="9"/>
      <c r="S26" s="9"/>
      <c r="T26" s="9"/>
      <c r="U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1.7897056695309543</v>
      </c>
      <c r="H27" s="4">
        <v>19.876601402460075</v>
      </c>
      <c r="I27" s="4">
        <f t="shared" si="0"/>
        <v>40</v>
      </c>
      <c r="N27" s="13" t="s">
        <v>77</v>
      </c>
      <c r="O27" s="6">
        <v>0.71269346475761464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34.591753259051274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34.591753259051274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304.03303316959324</v>
      </c>
      <c r="D30" s="5">
        <v>101.325</v>
      </c>
      <c r="E30" s="4">
        <v>129.51335809758132</v>
      </c>
      <c r="F30" s="7">
        <v>0.44888256955875044</v>
      </c>
      <c r="G30" s="4">
        <v>34.591753259051274</v>
      </c>
      <c r="H30" s="4">
        <v>0.23949854144378332</v>
      </c>
      <c r="I30" s="4">
        <f t="shared" si="0"/>
        <v>30.883033169593261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435.43287838933054</v>
      </c>
      <c r="D31" s="5">
        <v>9124.0875912408756</v>
      </c>
      <c r="E31" s="4">
        <v>591.19593244282169</v>
      </c>
      <c r="F31" s="7">
        <v>2.1610419768753544</v>
      </c>
      <c r="G31" s="4">
        <v>7.9944855772860111</v>
      </c>
      <c r="H31" s="4">
        <v>257.03321905731815</v>
      </c>
      <c r="I31" s="4">
        <f t="shared" si="0"/>
        <v>162.28287838933056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423.3557736165609</v>
      </c>
      <c r="D32" s="5">
        <v>9124.0875912408756</v>
      </c>
      <c r="E32" s="4">
        <v>576.59650223683718</v>
      </c>
      <c r="F32" s="7">
        <v>2.1270382629381421</v>
      </c>
      <c r="G32" s="4">
        <v>7.9944855772860111</v>
      </c>
      <c r="H32" s="4">
        <v>252.57199616171354</v>
      </c>
      <c r="I32" s="4">
        <f t="shared" si="0"/>
        <v>150.20577361656092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7.9944855772860111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346.62433578909861</v>
      </c>
      <c r="D34" s="5">
        <v>9124.0875912408756</v>
      </c>
      <c r="E34" s="4">
        <v>468.83148724964826</v>
      </c>
      <c r="F34" s="7">
        <v>1.8443890532471721</v>
      </c>
      <c r="G34" s="4">
        <v>7.9944855772860111</v>
      </c>
      <c r="H34" s="4">
        <v>229.07884304388728</v>
      </c>
      <c r="I34" s="4">
        <f t="shared" si="0"/>
        <v>73.474335789098632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1.1599999999999999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453.10722153513228</v>
      </c>
      <c r="F36" s="7">
        <v>3.9723323134988857</v>
      </c>
      <c r="G36" s="4">
        <v>1.1599999999999999</v>
      </c>
      <c r="H36" s="4">
        <v>1.3091135519945019</v>
      </c>
      <c r="I36" s="4">
        <f t="shared" si="0"/>
        <v>5</v>
      </c>
    </row>
    <row r="37" spans="2:25" x14ac:dyDescent="0.3">
      <c r="B37" s="2" t="s">
        <v>32</v>
      </c>
      <c r="C37" s="4">
        <v>346.62433578909861</v>
      </c>
      <c r="D37" s="5">
        <v>9.1240875912408761</v>
      </c>
      <c r="E37" s="4">
        <v>468.83148724964826</v>
      </c>
      <c r="F37" s="7">
        <v>1.8443890532471721</v>
      </c>
      <c r="G37" s="4">
        <v>7.9944855772860111</v>
      </c>
      <c r="H37" s="4">
        <v>229.07884304388728</v>
      </c>
      <c r="I37" s="4">
        <f t="shared" si="0"/>
        <v>73.474335789098632</v>
      </c>
    </row>
    <row r="38" spans="2:25" x14ac:dyDescent="0.3">
      <c r="B38" s="2" t="s">
        <v>33</v>
      </c>
      <c r="C38" s="4">
        <v>344.39458549639238</v>
      </c>
      <c r="D38" s="5">
        <v>9.1240875912408761</v>
      </c>
      <c r="E38" s="4">
        <v>464.67130036926602</v>
      </c>
      <c r="F38" s="7">
        <v>1.8323480555267959</v>
      </c>
      <c r="G38" s="4">
        <v>7.9944855772860111</v>
      </c>
      <c r="H38" s="4">
        <v>228.50867963383527</v>
      </c>
      <c r="I38" s="4">
        <f t="shared" si="0"/>
        <v>71.244585496392403</v>
      </c>
    </row>
    <row r="39" spans="2:25" x14ac:dyDescent="0.3">
      <c r="B39" s="2" t="s">
        <v>33</v>
      </c>
      <c r="C39" s="4">
        <v>344.39458549639238</v>
      </c>
      <c r="D39" s="5">
        <v>9124.0875912408756</v>
      </c>
      <c r="E39" s="4">
        <v>464.67130036356895</v>
      </c>
      <c r="F39" s="7">
        <v>1.8323480555267959</v>
      </c>
      <c r="G39" s="4">
        <v>7.9944855772860111</v>
      </c>
      <c r="H39" s="4">
        <v>228.5086796281382</v>
      </c>
      <c r="I39" s="4">
        <f t="shared" si="0"/>
        <v>71.244585496392403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7.9944855772860111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2.8698525619149113E-3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343.39458549639238</v>
      </c>
      <c r="D42" s="5">
        <v>101.325</v>
      </c>
      <c r="E42" s="4">
        <v>294.14738747128831</v>
      </c>
      <c r="F42" s="7">
        <v>0.95807613660276081</v>
      </c>
      <c r="G42" s="4">
        <v>2.8698525619149113E-3</v>
      </c>
      <c r="H42" s="4">
        <v>13.057465900979093</v>
      </c>
      <c r="I42" s="4">
        <f t="shared" si="0"/>
        <v>70.244585496392403</v>
      </c>
    </row>
  </sheetData>
  <mergeCells count="7"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abSelected="1" topLeftCell="A19" zoomScale="115" zoomScaleNormal="115" workbookViewId="0">
      <selection activeCell="H29" sqref="H29:H35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15.664062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0.79959526453496776</v>
      </c>
      <c r="D3" s="17">
        <v>5.7474602609853757E-2</v>
      </c>
      <c r="E3" s="19">
        <v>44.242025146810107</v>
      </c>
      <c r="F3" s="19">
        <v>22.280941712184308</v>
      </c>
      <c r="G3" s="19">
        <v>42.805350727912341</v>
      </c>
      <c r="H3" s="19">
        <v>54.391713608301288</v>
      </c>
      <c r="I3" s="19">
        <v>53.43053490915559</v>
      </c>
      <c r="J3" s="19">
        <v>71.431846289059933</v>
      </c>
      <c r="K3" s="19">
        <v>0.94449159071981759</v>
      </c>
      <c r="L3" s="17">
        <v>8.4406216959654934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0.89972160669047219</v>
      </c>
      <c r="D4" s="17">
        <v>5.9775959042112747E-2</v>
      </c>
      <c r="E4" s="17">
        <v>46.738186634220291</v>
      </c>
      <c r="F4" s="17">
        <v>23.115653468129583</v>
      </c>
      <c r="G4" s="17">
        <v>45.32985739384808</v>
      </c>
      <c r="H4" s="17">
        <v>54.219471799935384</v>
      </c>
      <c r="I4" s="17">
        <v>53.258556160364932</v>
      </c>
      <c r="J4" s="17">
        <v>71.235617634821836</v>
      </c>
      <c r="K4" s="17">
        <v>0.97914227476891347</v>
      </c>
      <c r="L4" s="17">
        <v>8.7502838660033913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0.99841792896138692</v>
      </c>
      <c r="D5" s="17">
        <v>6.2107603556281796E-2</v>
      </c>
      <c r="E5" s="17">
        <v>48.905256206618859</v>
      </c>
      <c r="F5" s="17">
        <v>23.650319962765966</v>
      </c>
      <c r="G5" s="17">
        <v>47.52015705474146</v>
      </c>
      <c r="H5" s="17">
        <v>54.048316611557979</v>
      </c>
      <c r="I5" s="17">
        <v>53.087671766748116</v>
      </c>
      <c r="J5" s="17">
        <v>71.038424425410881</v>
      </c>
      <c r="K5" s="17">
        <v>1.0140645281447851</v>
      </c>
      <c r="L5" s="17">
        <v>9.0623729649563405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1.095976970270373</v>
      </c>
      <c r="D6" s="17">
        <v>6.4468832600220724E-2</v>
      </c>
      <c r="E6" s="17">
        <v>50.80680659983301</v>
      </c>
      <c r="F6" s="17">
        <v>23.908927906115419</v>
      </c>
      <c r="G6" s="17">
        <v>49.440886587190505</v>
      </c>
      <c r="H6" s="17">
        <v>53.878220178726544</v>
      </c>
      <c r="I6" s="17">
        <v>52.917855462200883</v>
      </c>
      <c r="J6" s="17">
        <v>70.840471045585389</v>
      </c>
      <c r="K6" s="17">
        <v>1.0492439615518117</v>
      </c>
      <c r="L6" s="17">
        <v>9.3767604002545415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1.1926154214167359</v>
      </c>
      <c r="D7" s="17">
        <v>6.6858338839570361E-2</v>
      </c>
      <c r="E7" s="17">
        <v>52.490240359052798</v>
      </c>
      <c r="F7" s="17">
        <v>23.905414304807127</v>
      </c>
      <c r="G7" s="17">
        <v>51.140240176954421</v>
      </c>
      <c r="H7" s="17">
        <v>53.709201785475713</v>
      </c>
      <c r="I7" s="17">
        <v>52.749127913968607</v>
      </c>
      <c r="J7" s="17">
        <v>70.642003533187847</v>
      </c>
      <c r="K7" s="17">
        <v>1.08465748785521</v>
      </c>
      <c r="L7" s="17">
        <v>9.6932398494990846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1.2884976984183187</v>
      </c>
      <c r="D8" s="17">
        <v>6.9274475184734868E-2</v>
      </c>
      <c r="E8" s="17">
        <v>53.991830167895671</v>
      </c>
      <c r="F8" s="17">
        <v>23.646581930865896</v>
      </c>
      <c r="G8" s="17">
        <v>52.655094193700535</v>
      </c>
      <c r="H8" s="17">
        <v>53.541305493071732</v>
      </c>
      <c r="I8" s="17">
        <v>52.581534383252716</v>
      </c>
      <c r="J8" s="17">
        <v>70.44328600163891</v>
      </c>
      <c r="K8" s="17">
        <v>1.1202774409417275</v>
      </c>
      <c r="L8" s="17">
        <v>10.011564069413204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1.3837514731671954</v>
      </c>
      <c r="D9" s="17">
        <v>7.1715431970801227E-2</v>
      </c>
      <c r="E9" s="17">
        <v>55.339933569630354</v>
      </c>
      <c r="F9" s="17">
        <v>23.133959295545651</v>
      </c>
      <c r="G9" s="17">
        <v>54.014275766007323</v>
      </c>
      <c r="H9" s="17">
        <v>53.374586045417935</v>
      </c>
      <c r="I9" s="17">
        <v>52.415130655682205</v>
      </c>
      <c r="J9" s="17">
        <v>70.244585496392403</v>
      </c>
      <c r="K9" s="17">
        <v>1.1560742978764087</v>
      </c>
      <c r="L9" s="17">
        <v>10.331469222893681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29.485120651710428</v>
      </c>
      <c r="D16" s="17">
        <v>13.564888381060969</v>
      </c>
      <c r="E16" s="17">
        <v>14.906637101063389</v>
      </c>
      <c r="F16" s="17">
        <v>27.324224769671563</v>
      </c>
      <c r="G16" s="17">
        <v>8.6106797085443318</v>
      </c>
      <c r="H16" s="17">
        <v>3.3947199989052024</v>
      </c>
      <c r="I16" s="17">
        <v>30.271704873401731</v>
      </c>
      <c r="J16" s="17">
        <v>118.03699553521798</v>
      </c>
      <c r="K16" s="17">
        <v>1387.4581203814137</v>
      </c>
      <c r="L16" s="17">
        <v>894.0177603515491</v>
      </c>
      <c r="M16" s="17">
        <v>3.2636063061677061</v>
      </c>
      <c r="N16" s="17">
        <v>1.6493762302839108</v>
      </c>
      <c r="O16" s="17">
        <v>66.202538828775772</v>
      </c>
      <c r="P16" s="17">
        <v>30.731160961602338</v>
      </c>
      <c r="Q16" s="17">
        <v>0</v>
      </c>
      <c r="R16" s="17">
        <v>6.3532146035785448</v>
      </c>
      <c r="S16" s="17">
        <v>33.747118549449517</v>
      </c>
      <c r="T16" s="17">
        <v>3468.6453009535339</v>
      </c>
      <c r="U16" s="17">
        <v>26.639387578646851</v>
      </c>
      <c r="V16" s="17">
        <v>2695.657254811043</v>
      </c>
    </row>
    <row r="17" spans="2:26" x14ac:dyDescent="0.3">
      <c r="B17" s="17">
        <v>550</v>
      </c>
      <c r="C17" s="17">
        <v>29.781783917630268</v>
      </c>
      <c r="D17" s="17">
        <v>13.187459854217858</v>
      </c>
      <c r="E17" s="17">
        <v>15.005112575197126</v>
      </c>
      <c r="F17" s="17">
        <v>27.447206193680177</v>
      </c>
      <c r="G17" s="17">
        <v>8.8978395707103122</v>
      </c>
      <c r="H17" s="17">
        <v>8.045436130908783</v>
      </c>
      <c r="I17" s="17">
        <v>36.484341624139283</v>
      </c>
      <c r="J17" s="17">
        <v>159.28762450721621</v>
      </c>
      <c r="K17" s="17">
        <v>1508.5865165479815</v>
      </c>
      <c r="L17" s="17">
        <v>917.31651422341099</v>
      </c>
      <c r="M17" s="17">
        <v>3.229940708208169</v>
      </c>
      <c r="N17" s="17">
        <v>1.6227368839905512</v>
      </c>
      <c r="O17" s="17">
        <v>70.030539355826804</v>
      </c>
      <c r="P17" s="17">
        <v>32.431629299966701</v>
      </c>
      <c r="Q17" s="17">
        <v>0</v>
      </c>
      <c r="R17" s="17">
        <v>6.6540307771452101</v>
      </c>
      <c r="S17" s="17">
        <v>33.7028919835547</v>
      </c>
      <c r="T17" s="17">
        <v>3771.4662913699544</v>
      </c>
      <c r="U17" s="17">
        <v>27.809219672175992</v>
      </c>
      <c r="V17" s="17">
        <v>2899.5208238259606</v>
      </c>
    </row>
    <row r="18" spans="2:26" x14ac:dyDescent="0.3">
      <c r="B18" s="17">
        <v>600</v>
      </c>
      <c r="C18" s="17">
        <v>30.072126059584438</v>
      </c>
      <c r="D18" s="17">
        <v>12.815757813462639</v>
      </c>
      <c r="E18" s="17">
        <v>15.074997029094375</v>
      </c>
      <c r="F18" s="17">
        <v>27.53273934130091</v>
      </c>
      <c r="G18" s="17">
        <v>9.1850023844852036</v>
      </c>
      <c r="H18" s="17">
        <v>13.191794613489183</v>
      </c>
      <c r="I18" s="17">
        <v>42.957817343885893</v>
      </c>
      <c r="J18" s="17">
        <v>212.54457106783326</v>
      </c>
      <c r="K18" s="17">
        <v>1639.3855942730463</v>
      </c>
      <c r="L18" s="17">
        <v>943.66296676565219</v>
      </c>
      <c r="M18" s="17">
        <v>3.1964045904803005</v>
      </c>
      <c r="N18" s="17">
        <v>1.5963807829348928</v>
      </c>
      <c r="O18" s="17">
        <v>73.974395706709728</v>
      </c>
      <c r="P18" s="17">
        <v>34.216175837851559</v>
      </c>
      <c r="Q18" s="17">
        <v>0</v>
      </c>
      <c r="R18" s="17">
        <v>6.9630843835348282</v>
      </c>
      <c r="S18" s="17">
        <v>33.642267122887539</v>
      </c>
      <c r="T18" s="17">
        <v>4098.4639856826152</v>
      </c>
      <c r="U18" s="17">
        <v>29.00045429948581</v>
      </c>
      <c r="V18" s="17">
        <v>3129.0125294157187</v>
      </c>
    </row>
    <row r="19" spans="2:26" x14ac:dyDescent="0.3">
      <c r="B19" s="17">
        <v>650</v>
      </c>
      <c r="C19" s="17">
        <v>30.356348204785782</v>
      </c>
      <c r="D19" s="17">
        <v>12.44961559979507</v>
      </c>
      <c r="E19" s="17">
        <v>15.124260333639103</v>
      </c>
      <c r="F19" s="17">
        <v>27.591578472916037</v>
      </c>
      <c r="G19" s="17">
        <v>9.4719934814589077</v>
      </c>
      <c r="H19" s="17">
        <v>18.57419322769216</v>
      </c>
      <c r="I19" s="17">
        <v>49.691064890158593</v>
      </c>
      <c r="J19" s="17">
        <v>281.0885470546134</v>
      </c>
      <c r="K19" s="17">
        <v>1782.8354646964092</v>
      </c>
      <c r="L19" s="17">
        <v>974.191411747036</v>
      </c>
      <c r="M19" s="17">
        <v>3.1630198633730169</v>
      </c>
      <c r="N19" s="17">
        <v>1.5703191740388991</v>
      </c>
      <c r="O19" s="17">
        <v>78.033235234910777</v>
      </c>
      <c r="P19" s="17">
        <v>36.089167156528923</v>
      </c>
      <c r="Q19" s="17">
        <v>0</v>
      </c>
      <c r="R19" s="17">
        <v>7.2805324924249097</v>
      </c>
      <c r="S19" s="17">
        <v>33.566067839114389</v>
      </c>
      <c r="T19" s="17">
        <v>4457.0886617410233</v>
      </c>
      <c r="U19" s="17">
        <v>30.212857749627148</v>
      </c>
      <c r="V19" s="17">
        <v>3391.2896772185222</v>
      </c>
    </row>
    <row r="20" spans="2:26" x14ac:dyDescent="0.3">
      <c r="B20" s="17">
        <v>700</v>
      </c>
      <c r="C20" s="17">
        <v>30.634572596853715</v>
      </c>
      <c r="D20" s="17">
        <v>12.088966631737916</v>
      </c>
      <c r="E20" s="17">
        <v>15.158362934418255</v>
      </c>
      <c r="F20" s="17">
        <v>27.631189878644655</v>
      </c>
      <c r="G20" s="17">
        <v>9.7585717022123273</v>
      </c>
      <c r="H20" s="17">
        <v>24.020430877263426</v>
      </c>
      <c r="I20" s="17">
        <v>56.681040389213244</v>
      </c>
      <c r="J20" s="17">
        <v>369.23294106569756</v>
      </c>
      <c r="K20" s="17">
        <v>1942.7283156258552</v>
      </c>
      <c r="L20" s="17">
        <v>1010.2197197239223</v>
      </c>
      <c r="M20" s="17">
        <v>3.1298159081650674</v>
      </c>
      <c r="N20" s="17">
        <v>1.5445691713135157</v>
      </c>
      <c r="O20" s="17">
        <v>82.204971307235269</v>
      </c>
      <c r="P20" s="17">
        <v>38.054574357161769</v>
      </c>
      <c r="Q20" s="17">
        <v>0</v>
      </c>
      <c r="R20" s="17">
        <v>7.6064535049367379</v>
      </c>
      <c r="S20" s="17">
        <v>33.475120850675864</v>
      </c>
      <c r="T20" s="17">
        <v>4856.8207890646372</v>
      </c>
      <c r="U20" s="17">
        <v>31.445876616620488</v>
      </c>
      <c r="V20" s="17">
        <v>3695.6154931419278</v>
      </c>
    </row>
    <row r="21" spans="2:26" x14ac:dyDescent="0.3">
      <c r="B21" s="17">
        <v>750</v>
      </c>
      <c r="C21" s="17">
        <v>30.906883731184411</v>
      </c>
      <c r="D21" s="17">
        <v>11.733793427656783</v>
      </c>
      <c r="E21" s="17">
        <v>15.181449948766968</v>
      </c>
      <c r="F21" s="17">
        <v>27.656590211398434</v>
      </c>
      <c r="G21" s="17">
        <v>10.044465293963134</v>
      </c>
      <c r="H21" s="17">
        <v>29.414976429465458</v>
      </c>
      <c r="I21" s="17">
        <v>63.923314061612821</v>
      </c>
      <c r="J21" s="17">
        <v>482.7644158839729</v>
      </c>
      <c r="K21" s="17">
        <v>2124.0584594927946</v>
      </c>
      <c r="L21" s="17">
        <v>1053.3975711688122</v>
      </c>
      <c r="M21" s="17">
        <v>3.096825295401116</v>
      </c>
      <c r="N21" s="17">
        <v>1.5191502375896373</v>
      </c>
      <c r="O21" s="17">
        <v>86.486698692361983</v>
      </c>
      <c r="P21" s="17">
        <v>40.11610028928925</v>
      </c>
      <c r="Q21" s="17">
        <v>0</v>
      </c>
      <c r="R21" s="17">
        <v>7.940877684283616</v>
      </c>
      <c r="S21" s="17">
        <v>33.370260142907128</v>
      </c>
      <c r="T21" s="17">
        <v>5310.1461487319866</v>
      </c>
      <c r="U21" s="17">
        <v>32.698767335133454</v>
      </c>
      <c r="V21" s="17">
        <v>4054.3105993265945</v>
      </c>
    </row>
    <row r="22" spans="2:26" x14ac:dyDescent="0.3">
      <c r="B22" s="17">
        <v>800.00000000000011</v>
      </c>
      <c r="C22" s="17">
        <v>31.17335186523071</v>
      </c>
      <c r="D22" s="17">
        <v>11.384097947699106</v>
      </c>
      <c r="E22" s="17">
        <v>15.196049134857022</v>
      </c>
      <c r="F22" s="17">
        <v>27.671506806551477</v>
      </c>
      <c r="G22" s="17">
        <v>10.329389197445023</v>
      </c>
      <c r="H22" s="17">
        <v>34.679829083029183</v>
      </c>
      <c r="I22" s="17">
        <v>71.412496173838846</v>
      </c>
      <c r="J22" s="17">
        <v>629.63432798074223</v>
      </c>
      <c r="K22" s="17">
        <v>2333.6176965557079</v>
      </c>
      <c r="L22" s="17">
        <v>1105.9100285509264</v>
      </c>
      <c r="M22" s="17">
        <v>3.0640811169153399</v>
      </c>
      <c r="N22" s="17">
        <v>1.4940820414417189</v>
      </c>
      <c r="O22" s="17">
        <v>90.874967050593952</v>
      </c>
      <c r="P22" s="17">
        <v>42.277260541399329</v>
      </c>
      <c r="Q22" s="17">
        <v>0</v>
      </c>
      <c r="R22" s="17">
        <v>8.2838071011636547</v>
      </c>
      <c r="S22" s="17">
        <v>33.252324097050263</v>
      </c>
      <c r="T22" s="17">
        <v>5834.0442413892697</v>
      </c>
      <c r="U22" s="17">
        <v>33.970684470386352</v>
      </c>
      <c r="V22" s="17">
        <v>4484.2259797149791</v>
      </c>
      <c r="W22" s="21"/>
      <c r="X22" s="21"/>
      <c r="Y22" s="21"/>
      <c r="Z22" s="21"/>
    </row>
    <row r="23" spans="2:26" x14ac:dyDescent="0.3">
      <c r="W23" s="21"/>
      <c r="X23" s="21"/>
      <c r="Y23" s="21"/>
      <c r="Z23" s="21"/>
    </row>
    <row r="24" spans="2:26" x14ac:dyDescent="0.3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1"/>
      <c r="X24" s="21"/>
      <c r="Y24" s="21"/>
      <c r="Z24" s="21"/>
    </row>
    <row r="25" spans="2:26" x14ac:dyDescent="0.3"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125</v>
      </c>
      <c r="G28" s="18" t="s">
        <v>123</v>
      </c>
      <c r="H28" s="21"/>
    </row>
    <row r="29" spans="2:26" x14ac:dyDescent="0.3">
      <c r="B29" s="17">
        <v>500</v>
      </c>
      <c r="C29" s="17">
        <v>0.77714987291148052</v>
      </c>
      <c r="D29" s="17">
        <v>3.4879579281269653</v>
      </c>
      <c r="E29" s="21">
        <v>0.28670070585885776</v>
      </c>
      <c r="F29" s="21">
        <v>1.2022886783692854E-2</v>
      </c>
      <c r="G29">
        <v>5.0653940370668825E-3</v>
      </c>
      <c r="H29"/>
      <c r="I29" s="26"/>
      <c r="J29" s="26"/>
    </row>
    <row r="30" spans="2:26" x14ac:dyDescent="0.3">
      <c r="B30" s="17">
        <v>550</v>
      </c>
      <c r="C30" s="17">
        <v>0.76880465045141189</v>
      </c>
      <c r="D30" s="17">
        <v>3.3259048960540598</v>
      </c>
      <c r="E30" s="21">
        <v>0.30067005258822227</v>
      </c>
      <c r="F30" s="21">
        <v>1.1913802929697966E-2</v>
      </c>
      <c r="G30">
        <v>5.0653940370668817E-3</v>
      </c>
      <c r="H30"/>
      <c r="I30" s="26"/>
      <c r="J30" s="26"/>
    </row>
    <row r="31" spans="2:26" x14ac:dyDescent="0.3">
      <c r="B31" s="17">
        <v>600</v>
      </c>
      <c r="C31" s="17">
        <v>0.76345980844200811</v>
      </c>
      <c r="D31" s="17">
        <v>3.2281161931169047</v>
      </c>
      <c r="E31" s="21">
        <v>0.30977819265992745</v>
      </c>
      <c r="F31" s="21">
        <v>1.1830214503815288E-2</v>
      </c>
      <c r="G31">
        <v>5.0653940370668825E-3</v>
      </c>
      <c r="H31"/>
      <c r="I31" s="26"/>
      <c r="J31" s="26"/>
    </row>
    <row r="32" spans="2:26" x14ac:dyDescent="0.3">
      <c r="B32" s="17">
        <v>650</v>
      </c>
      <c r="C32" s="17">
        <v>0.76087552539146053</v>
      </c>
      <c r="D32" s="17">
        <v>3.1823908139220412</v>
      </c>
      <c r="E32" s="21">
        <v>0.31422916243513799</v>
      </c>
      <c r="F32" s="21">
        <v>1.1767698260098285E-2</v>
      </c>
      <c r="G32">
        <v>5.0653940370668808E-3</v>
      </c>
      <c r="H32"/>
      <c r="I32" s="26"/>
      <c r="J32" s="26"/>
    </row>
    <row r="33" spans="2:10" x14ac:dyDescent="0.3">
      <c r="B33" s="17">
        <v>700</v>
      </c>
      <c r="C33" s="17">
        <v>0.76091246797962597</v>
      </c>
      <c r="D33" s="17">
        <v>3.1830130960190659</v>
      </c>
      <c r="E33" s="21">
        <v>0.31416773033409162</v>
      </c>
      <c r="F33" s="21">
        <v>1.1715674035762768E-2</v>
      </c>
      <c r="G33">
        <v>5.0653940370668808E-3</v>
      </c>
      <c r="H33"/>
      <c r="I33" s="26"/>
      <c r="J33" s="26"/>
    </row>
    <row r="34" spans="2:10" x14ac:dyDescent="0.3">
      <c r="B34" s="17">
        <v>750</v>
      </c>
      <c r="C34" s="17">
        <v>0.76350263924369122</v>
      </c>
      <c r="D34" s="17">
        <v>3.2288076199591909</v>
      </c>
      <c r="E34" s="21">
        <v>0.30971185580038957</v>
      </c>
      <c r="F34" s="21">
        <v>1.1674561793569536E-2</v>
      </c>
      <c r="G34">
        <v>5.0653940370668825E-3</v>
      </c>
      <c r="H34"/>
      <c r="I34" s="26"/>
      <c r="J34" s="26"/>
    </row>
    <row r="35" spans="2:10" x14ac:dyDescent="0.3">
      <c r="B35" s="17">
        <v>800.00000000000011</v>
      </c>
      <c r="C35" s="17">
        <v>0.76863078066873625</v>
      </c>
      <c r="D35" s="17">
        <v>3.3225215400838581</v>
      </c>
      <c r="E35" s="21">
        <v>0.30097622782447353</v>
      </c>
      <c r="F35" s="21">
        <v>1.163821212092399E-2</v>
      </c>
      <c r="G35">
        <v>5.0653940370668817E-3</v>
      </c>
      <c r="H35"/>
      <c r="I35" s="26"/>
      <c r="J35" s="26"/>
    </row>
    <row r="36" spans="2:10" x14ac:dyDescent="0.3">
      <c r="F36" s="21"/>
      <c r="G36"/>
      <c r="H36"/>
    </row>
    <row r="37" spans="2:10" x14ac:dyDescent="0.3">
      <c r="B37" s="20"/>
      <c r="C37" s="20"/>
      <c r="D37" s="20"/>
      <c r="E37" s="20"/>
      <c r="F37" s="20"/>
      <c r="G37" s="20"/>
      <c r="H37" s="21"/>
    </row>
    <row r="38" spans="2:10" x14ac:dyDescent="0.3">
      <c r="H38" s="21"/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Energy_Exergy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2026-01-10T18:46:48Z</dcterms:modified>
</cp:coreProperties>
</file>