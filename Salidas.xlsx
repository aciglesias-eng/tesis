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2\"/>
    </mc:Choice>
  </mc:AlternateContent>
  <xr:revisionPtr revIDLastSave="0" documentId="13_ncr:1_{593147D4-1451-4B24-B49D-9705148BDCD7}" xr6:coauthVersionLast="47" xr6:coauthVersionMax="47" xr10:uidLastSave="{00000000-0000-0000-0000-000000000000}"/>
  <bookViews>
    <workbookView xWindow="-108" yWindow="-108" windowWidth="23256" windowHeight="13176" xr2:uid="{C4CE93A3-0861-4D2C-B953-37868A8DFB1C}"/>
  </bookViews>
  <sheets>
    <sheet name="T" sheetId="3" r:id="rId1"/>
    <sheet name="rc" sheetId="6" r:id="rId2"/>
    <sheet name="nt" sheetId="7" r:id="rId3"/>
    <sheet name="nc" sheetId="8" r:id="rId4"/>
    <sheet name="Energy_Exergy" sheetId="2" r:id="rId5"/>
    <sheet name="Exergoeconomico" sheetId="5" r:id="rId6"/>
    <sheet name="EXERGO" sheetId="4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8" i="2" l="1"/>
  <c r="V23" i="2"/>
  <c r="V22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<sst xmlns="http://schemas.openxmlformats.org/spreadsheetml/2006/main" count="395" uniqueCount="246">
  <si>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</si>
  <si>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</si>
  <si>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</si>
  <si>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</si>
  <si>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</si>
  <si>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</si>
  <si>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</si>
  <si>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</si>
  <si>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</si>
  <si>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</si>
  <si>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</si>
  <si>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</si>
  <si>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</si>
  <si>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</si>
  <si>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</si>
  <si>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</si>
  <si>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</si>
  <si>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</si>
  <si>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</si>
  <si>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</si>
  <si>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</si>
  <si>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</si>
  <si>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</si>
  <si>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</si>
  <si>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</si>
  <si>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</si>
  <si>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</si>
  <si>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</si>
  <si>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</si>
  <si>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</si>
  <si>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</si>
  <si>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</si>
  <si>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</si>
  <si>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</si>
  <si>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</si>
  <si>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</si>
  <si>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</si>
  <si>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</si>
  <si>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</si>
  <si>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</si>
  <si>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</si>
  <si>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</si>
  <si>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</si>
  <si>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</si>
  <si>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</si>
  <si>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</si>
  <si>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</si>
  <si>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</si>
  <si>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</si>
  <si>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</si>
  <si>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</si>
  <si>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</si>
  <si>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</si>
  <si>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</si>
  <si>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</si>
  <si>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</si>
  <si>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</si>
  <si>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</si>
  <si>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</si>
  <si>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</si>
  <si>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</si>
  <si>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</si>
  <si>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</si>
  <si>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</si>
  <si>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</si>
  <si>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</si>
  <si>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</si>
  <si>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</si>
  <si>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</si>
  <si>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</si>
  <si>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</si>
  <si>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</si>
  <si>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</si>
  <si>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</si>
  <si>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</si>
  <si>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</si>
  <si>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</si>
  <si>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</si>
  <si>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</si>
  <si>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</si>
  <si>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</si>
  <si>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</si>
  <si>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</si>
  <si>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</si>
  <si>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</si>
  <si>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</si>
  <si>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</si>
  <si>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</si>
  <si>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</si>
  <si>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</si>
  <si>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</si>
  <si>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</si>
  <si>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</si>
  <si>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</si>
  <si>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</si>
  <si>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</si>
  <si>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</si>
  <si>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</si>
  <si>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</si>
  <si>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</si>
  <si>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</si>
  <si>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</si>
  <si>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</si>
  <si>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</si>
  <si>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</si>
  <si>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</si>
  <si>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</si>
  <si>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</si>
  <si>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</si>
  <si>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</si>
  <si>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</si>
  <si>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</si>
  <si>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</si>
  <si>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</si>
  <si>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</si>
  <si>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</si>
  <si>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</si>
  <si>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</si>
  <si>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</si>
  <si>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</si>
  <si>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</si>
  <si>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</si>
  <si>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</si>
  <si>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</si>
  <si>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</si>
  <si>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</si>
  <si>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</si>
  <si>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</si>
  <si>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</si>
  <si>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</si>
  <si>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</si>
  <si>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</si>
  <si>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</si>
  <si>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</si>
  <si>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</si>
  <si>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</si>
  <si>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</si>
  <si>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</si>
  <si>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</si>
  <si>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</si>
  <si>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</si>
  <si>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</si>
  <si>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</si>
  <si>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</si>
  <si>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</si>
  <si>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</si>
  <si>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</si>
  <si>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</si>
  <si>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</si>
  <si>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</si>
  <si>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</si>
  <si>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</si>
  <si>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</si>
  <si>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</si>
  <si>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</si>
  <si>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</si>
  <si>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</si>
  <si>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</si>
  <si>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</si>
  <si>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</si>
  <si>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</si>
  <si>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</si>
  <si>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</si>
  <si>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</si>
  <si>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</si>
  <si>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</si>
  <si>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</si>
  <si>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</si>
  <si>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</si>
  <si>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</si>
  <si>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</si>
  <si>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</si>
  <si>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</si>
  <si>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</si>
  <si>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</si>
  <si>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</si>
  <si>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</si>
  <si>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</si>
  <si>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</si>
  <si>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</si>
  <si>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</si>
  <si>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</si>
  <si>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</si>
  <si>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</si>
  <si>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</si>
  <si>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</si>
  <si>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</si>
  <si>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</si>
  <si>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</si>
  <si>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</si>
  <si>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</si>
  <si>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</si>
  <si>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</si>
  <si>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</si>
  <si>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</si>
  <si>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</si>
  <si>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</si>
  <si>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</si>
  <si>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</si>
  <si>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</si>
  <si>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</si>
  <si>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</si>
  <si>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</si>
  <si>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</si>
  <si>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</si>
  <si>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</si>
  <si>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</si>
  <si>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</si>
  <si>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</si>
  <si>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</si>
  <si>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</si>
  <si>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</si>
  <si>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</si>
  <si>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</si>
  <si>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</si>
  <si>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</si>
  <si>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</si>
  <si>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</si>
  <si>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</si>
  <si>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</si>
  <si>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</si>
  <si>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</si>
  <si>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</si>
  <si>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</si>
  <si>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</si>
  <si>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</si>
  <si>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</si>
  <si>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</si>
  <si>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</si>
  <si>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Evaporador ORC</t>
  </si>
  <si>
    <t>Turbina ORC</t>
  </si>
  <si>
    <t>Bomba ORC</t>
  </si>
  <si>
    <t>Condensador ORC</t>
  </si>
  <si>
    <t>HE-PEM</t>
  </si>
  <si>
    <t>Zdot (USD/h)</t>
  </si>
  <si>
    <t>ED (kW)</t>
  </si>
  <si>
    <t>CD (USD/h)</t>
  </si>
  <si>
    <t>f (%)</t>
  </si>
  <si>
    <t>Fluido</t>
  </si>
  <si>
    <t>Costo Unit. (USD/kWh_ex)</t>
  </si>
  <si>
    <t>LCOEn sistema [USD/kWh]</t>
  </si>
  <si>
    <t>c_H2 [USD/kWh_ex]</t>
  </si>
  <si>
    <t>c_el_bus interno [USD/kWh_ex]</t>
  </si>
  <si>
    <t>rc</t>
  </si>
  <si>
    <t>nc</t>
  </si>
  <si>
    <t>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</si>
</sst>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 applyAlignment="1">
      <alignment horizontal="center" vertical="center"/>
    </xf>
    <xf numFmtId="2" fontId="2" fillId="0" borderId="0" xfId="0" applyNumberFormat="1" applyFont="1"/>
    <xf numFmtId="2" fontId="0" fillId="3" borderId="0" xfId="1" applyNumberFormat="1" applyFont="1" applyFill="1"/>
    <xf numFmtId="0" fontId="0" fillId="0" borderId="3" xfId="0" applyBorder="1"/>
    <xf numFmtId="0" fontId="0" fillId="0" borderId="1" xfId="0" applyBorder="1"/>
    <xf numFmtId="9" fontId="0" fillId="0" borderId="0" xfId="1" applyFont="1"/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abSelected="1" zoomScale="90" zoomScaleNormal="55" workbookViewId="0">
      <selection activeCell="B29" sqref="B29:K38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20.8867187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7.9817560813786423E-2</v>
      </c>
      <c r="D3" s="17">
        <v>5.7478365564259748E-3</v>
      </c>
      <c r="E3" s="19">
        <v>44.1974892386704</v>
      </c>
      <c r="F3" s="19">
        <v>22.354905020495806</v>
      </c>
      <c r="G3" s="19">
        <v>42.952123279499567</v>
      </c>
      <c r="H3" s="19">
        <v>60.497549771042344</v>
      </c>
      <c r="I3" s="19">
        <v>59.339937648577902</v>
      </c>
      <c r="J3" s="19">
        <v>57.599063408747668</v>
      </c>
      <c r="K3" s="19">
        <v>0.10487639653311226</v>
      </c>
      <c r="L3" s="17">
        <v>0.93724708263142997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8.9819868548594597E-2</v>
      </c>
      <c r="D4" s="17">
        <v>5.9780007016897556E-3</v>
      </c>
      <c r="E4" s="17">
        <v>46.695266271232697</v>
      </c>
      <c r="F4" s="17">
        <v>23.188177710084158</v>
      </c>
      <c r="G4" s="17">
        <v>45.476727334120156</v>
      </c>
      <c r="H4" s="17">
        <v>60.417520328360382</v>
      </c>
      <c r="I4" s="17">
        <v>59.261674848403935</v>
      </c>
      <c r="J4" s="17">
        <v>57.667797740445906</v>
      </c>
      <c r="K4" s="17">
        <v>0.10893226180812285</v>
      </c>
      <c r="L4" s="17">
        <v>0.97349306382653711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9.96793345829486E-2</v>
      </c>
      <c r="D5" s="17">
        <v>6.211193284684475E-3</v>
      </c>
      <c r="E5" s="17">
        <v>48.863771870449447</v>
      </c>
      <c r="F5" s="17">
        <v>23.721367173994736</v>
      </c>
      <c r="G5" s="17">
        <v>47.667545596889568</v>
      </c>
      <c r="H5" s="17">
        <v>60.338863157325541</v>
      </c>
      <c r="I5" s="17">
        <v>59.184684248083506</v>
      </c>
      <c r="J5" s="17">
        <v>57.728684382490371</v>
      </c>
      <c r="K5" s="17">
        <v>0.11303458215131838</v>
      </c>
      <c r="L5" s="17">
        <v>1.0101541992276344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0.10942520132883478</v>
      </c>
      <c r="D6" s="17">
        <v>6.4473440004104016E-3</v>
      </c>
      <c r="E6" s="17">
        <v>50.766607886856718</v>
      </c>
      <c r="F6" s="17">
        <v>23.97837322726598</v>
      </c>
      <c r="G6" s="17">
        <v>49.589121053564661</v>
      </c>
      <c r="H6" s="17">
        <v>60.261517174005974</v>
      </c>
      <c r="I6" s="17">
        <v>59.108910725880229</v>
      </c>
      <c r="J6" s="17">
        <v>57.782166334695091</v>
      </c>
      <c r="K6" s="17">
        <v>0.11718202834730042</v>
      </c>
      <c r="L6" s="17">
        <v>1.0472186100584135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0.11907911442755229</v>
      </c>
      <c r="D7" s="17">
        <v>6.6863221481329119E-3</v>
      </c>
      <c r="E7" s="17">
        <v>52.451199641588161</v>
      </c>
      <c r="F7" s="17">
        <v>23.973056603120103</v>
      </c>
      <c r="G7" s="17">
        <v>51.289578376708199</v>
      </c>
      <c r="H7" s="17">
        <v>60.18544479897475</v>
      </c>
      <c r="I7" s="17">
        <v>59.034321922451397</v>
      </c>
      <c r="J7" s="17">
        <v>57.828651464528377</v>
      </c>
      <c r="K7" s="17">
        <v>0.12137221903189251</v>
      </c>
      <c r="L7" s="17">
        <v>1.0846650148227439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0.12865749758364126</v>
      </c>
      <c r="D8" s="17">
        <v>6.927963040732895E-3</v>
      </c>
      <c r="E8" s="17">
        <v>53.9538380140431</v>
      </c>
      <c r="F8" s="17">
        <v>23.712150117659942</v>
      </c>
      <c r="G8" s="17">
        <v>52.805741087788945</v>
      </c>
      <c r="H8" s="17">
        <v>60.110620931680657</v>
      </c>
      <c r="I8" s="17">
        <v>58.960897517023895</v>
      </c>
      <c r="J8" s="17">
        <v>57.868527049357624</v>
      </c>
      <c r="K8" s="17">
        <v>0.12560219118958013</v>
      </c>
      <c r="L8" s="17">
        <v>1.1224669339910212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0.13817310399416086</v>
      </c>
      <c r="D9" s="17">
        <v>7.1720857262984258E-3</v>
      </c>
      <c r="E9" s="17">
        <v>55.302895315550657</v>
      </c>
      <c r="F9" s="17">
        <v>23.197115911664334</v>
      </c>
      <c r="G9" s="17">
        <v>54.166395266817204</v>
      </c>
      <c r="H9" s="17">
        <v>60.037026235722536</v>
      </c>
      <c r="I9" s="17">
        <v>58.888622676875549</v>
      </c>
      <c r="J9" s="17">
        <v>57.90216663312242</v>
      </c>
      <c r="K9" s="17">
        <v>0.12986871416426851</v>
      </c>
      <c r="L9" s="17">
        <v>1.1605954962146874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B10" s="17">
        <v>850.00000000000011</v>
      </c>
      <c r="C10" s="17">
        <v>0.14763591018797936</v>
      </c>
      <c r="D10" s="17">
        <v>7.4185008301883553E-3</v>
      </c>
      <c r="E10" s="17">
        <v>56.520932003665166</v>
      </c>
      <c r="F10" s="17">
        <v>22.425366441656642</v>
      </c>
      <c r="G10" s="17">
        <v>55.394427986534978</v>
      </c>
      <c r="H10" s="17">
        <v>59.964644324702697</v>
      </c>
      <c r="I10" s="17">
        <v>58.817485312981574</v>
      </c>
      <c r="J10" s="17">
        <v>57.929932791292686</v>
      </c>
      <c r="K10" s="17">
        <v>0.13416842834636822</v>
      </c>
      <c r="L10" s="17">
        <v>1.1990206777287142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>
        <v>900.00000000000011</v>
      </c>
      <c r="C11" s="20">
        <v>0.15705390229949615</v>
      </c>
      <c r="D11" s="20">
        <v>7.6670200718972218E-3</v>
      </c>
      <c r="E11" s="20">
        <v>57.62617165599864</v>
      </c>
      <c r="F11" s="20">
        <v>21.391116232475689</v>
      </c>
      <c r="G11" s="20">
        <v>56.508324163200641</v>
      </c>
      <c r="H11" s="20">
        <v>59.893458865935898</v>
      </c>
      <c r="I11" s="20">
        <v>58.747473234144088</v>
      </c>
      <c r="J11" s="20">
        <v>57.952177903548829</v>
      </c>
      <c r="K11" s="20">
        <v>0.1384980115890817</v>
      </c>
      <c r="L11" s="20">
        <v>1.2377127895611604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B12" s="17">
        <v>800.00000000000011</v>
      </c>
      <c r="C12" s="17">
        <v>0.13817310399416086</v>
      </c>
      <c r="D12" s="17">
        <v>7.1720857262984258E-3</v>
      </c>
      <c r="E12" s="17">
        <v>55.302895315550657</v>
      </c>
      <c r="F12" s="17">
        <v>23.197115911664334</v>
      </c>
      <c r="G12" s="17">
        <v>54.166395266817204</v>
      </c>
      <c r="H12" s="17">
        <v>60.037026235722536</v>
      </c>
      <c r="I12" s="17">
        <v>58.888622676875549</v>
      </c>
      <c r="J12" s="17">
        <v>57.90216663312242</v>
      </c>
      <c r="K12" s="17">
        <v>0.12986871416426851</v>
      </c>
      <c r="L12" s="21">
        <v>1.1605954962146874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2.9485614292537941</v>
      </c>
      <c r="D16" s="17">
        <v>1.3564262301173839</v>
      </c>
      <c r="E16" s="17">
        <v>1.5119146157877403</v>
      </c>
      <c r="F16" s="17">
        <v>2.7713026251072881</v>
      </c>
      <c r="G16" s="17">
        <v>0.86111522976340527</v>
      </c>
      <c r="H16" s="17">
        <v>0.34017747966403838</v>
      </c>
      <c r="I16" s="17">
        <v>3.0281716564914243</v>
      </c>
      <c r="J16" s="17">
        <v>11.794615416517447</v>
      </c>
      <c r="K16" s="17">
        <v>138.63903314567469</v>
      </c>
      <c r="L16" s="17">
        <v>89.329858804423736</v>
      </c>
      <c r="M16" s="17">
        <v>1.930081004445823</v>
      </c>
      <c r="N16" s="17">
        <v>1.2227807343486761</v>
      </c>
      <c r="O16" s="17">
        <v>6.6201750343054497</v>
      </c>
      <c r="P16" s="17">
        <v>3.0733893335012619</v>
      </c>
      <c r="Q16" s="17">
        <v>6.9940860806835565E-4</v>
      </c>
      <c r="R16" s="17">
        <v>0.635370308557899</v>
      </c>
      <c r="S16" s="17">
        <v>0.71454041902522358</v>
      </c>
      <c r="T16" s="17">
        <v>346.59758286418668</v>
      </c>
      <c r="U16" s="17">
        <v>2.3221297488339383</v>
      </c>
      <c r="V16" s="17">
        <v>269.10034262442736</v>
      </c>
    </row>
    <row r="17" spans="2:26" x14ac:dyDescent="0.3">
      <c r="B17" s="17">
        <v>550</v>
      </c>
      <c r="C17" s="17">
        <v>2.9782296698241626</v>
      </c>
      <c r="D17" s="17">
        <v>1.3186805418472505</v>
      </c>
      <c r="E17" s="17">
        <v>1.521902528703853</v>
      </c>
      <c r="F17" s="17">
        <v>2.7837767920301411</v>
      </c>
      <c r="G17" s="17">
        <v>0.88983413920749443</v>
      </c>
      <c r="H17" s="17">
        <v>0.80540884684346381</v>
      </c>
      <c r="I17" s="17">
        <v>3.6495425807604551</v>
      </c>
      <c r="J17" s="17">
        <v>15.916416778681471</v>
      </c>
      <c r="K17" s="17">
        <v>150.74172785462781</v>
      </c>
      <c r="L17" s="17">
        <v>91.657429244218392</v>
      </c>
      <c r="M17" s="17">
        <v>1.9186775422157969</v>
      </c>
      <c r="N17" s="17">
        <v>1.2030292234185742</v>
      </c>
      <c r="O17" s="17">
        <v>7.0030101822417947</v>
      </c>
      <c r="P17" s="17">
        <v>3.2434672934535396</v>
      </c>
      <c r="Q17" s="17">
        <v>7.22799649886821E-4</v>
      </c>
      <c r="R17" s="17">
        <v>0.66545635698113537</v>
      </c>
      <c r="S17" s="17">
        <v>0.73525190064365598</v>
      </c>
      <c r="T17" s="17">
        <v>376.85431963656947</v>
      </c>
      <c r="U17" s="17">
        <v>2.4198198472494696</v>
      </c>
      <c r="V17" s="17">
        <v>289.45238412259835</v>
      </c>
    </row>
    <row r="18" spans="2:26" x14ac:dyDescent="0.3">
      <c r="B18" s="17">
        <v>600</v>
      </c>
      <c r="C18" s="17">
        <v>3.0072656005696845</v>
      </c>
      <c r="D18" s="17">
        <v>1.281507723530027</v>
      </c>
      <c r="E18" s="17">
        <v>1.5289907199523296</v>
      </c>
      <c r="F18" s="17">
        <v>2.7924530756981696</v>
      </c>
      <c r="G18" s="17">
        <v>0.91855320754454262</v>
      </c>
      <c r="H18" s="17">
        <v>1.3201571327557904</v>
      </c>
      <c r="I18" s="17">
        <v>4.2970000918122384</v>
      </c>
      <c r="J18" s="17">
        <v>21.237887994432182</v>
      </c>
      <c r="K18" s="17">
        <v>163.81075957825703</v>
      </c>
      <c r="L18" s="17">
        <v>94.28961039278758</v>
      </c>
      <c r="M18" s="17">
        <v>1.9069244306451252</v>
      </c>
      <c r="N18" s="17">
        <v>1.1834878333802012</v>
      </c>
      <c r="O18" s="17">
        <v>7.3974316456089495</v>
      </c>
      <c r="P18" s="17">
        <v>3.4219548588824718</v>
      </c>
      <c r="Q18" s="17">
        <v>7.4619661227411441E-4</v>
      </c>
      <c r="R18" s="17">
        <v>0.69636622761943978</v>
      </c>
      <c r="S18" s="17">
        <v>0.75450271920144385</v>
      </c>
      <c r="T18" s="17">
        <v>409.52689894564264</v>
      </c>
      <c r="U18" s="17">
        <v>2.5190206459099995</v>
      </c>
      <c r="V18" s="17">
        <v>312.36462007519947</v>
      </c>
    </row>
    <row r="19" spans="2:26" x14ac:dyDescent="0.3">
      <c r="B19" s="17">
        <v>650</v>
      </c>
      <c r="C19" s="17">
        <v>3.0356893574921995</v>
      </c>
      <c r="D19" s="17">
        <v>1.2448910840925236</v>
      </c>
      <c r="E19" s="17">
        <v>1.5339874970301752</v>
      </c>
      <c r="F19" s="17">
        <v>2.7984221022535349</v>
      </c>
      <c r="G19" s="17">
        <v>0.94725497642047962</v>
      </c>
      <c r="H19" s="17">
        <v>1.8584739014314837</v>
      </c>
      <c r="I19" s="17">
        <v>4.9704374229532986</v>
      </c>
      <c r="J19" s="17">
        <v>28.08683671750898</v>
      </c>
      <c r="K19" s="17">
        <v>178.14389492497978</v>
      </c>
      <c r="L19" s="17">
        <v>97.339721439540327</v>
      </c>
      <c r="M19" s="17">
        <v>1.8948558200554169</v>
      </c>
      <c r="N19" s="17">
        <v>1.1641648934409707</v>
      </c>
      <c r="O19" s="17">
        <v>7.8033521734467595</v>
      </c>
      <c r="P19" s="17">
        <v>3.6092888254336803</v>
      </c>
      <c r="Q19" s="17">
        <v>7.6958539798279801E-4</v>
      </c>
      <c r="R19" s="17">
        <v>0.72811563723715711</v>
      </c>
      <c r="S19" s="17">
        <v>0.77233615117360299</v>
      </c>
      <c r="T19" s="17">
        <v>445.35973731244945</v>
      </c>
      <c r="U19" s="17">
        <v>2.6197052171288115</v>
      </c>
      <c r="V19" s="17">
        <v>338.55219772701713</v>
      </c>
    </row>
    <row r="20" spans="2:26" x14ac:dyDescent="0.3">
      <c r="B20" s="17">
        <v>700</v>
      </c>
      <c r="C20" s="17">
        <v>3.063513184167503</v>
      </c>
      <c r="D20" s="17">
        <v>1.208823944950167</v>
      </c>
      <c r="E20" s="17">
        <v>1.5374467368248153</v>
      </c>
      <c r="F20" s="17">
        <v>2.8024408784225816</v>
      </c>
      <c r="G20" s="17">
        <v>0.97591533622180304</v>
      </c>
      <c r="H20" s="17">
        <v>2.40314755285962</v>
      </c>
      <c r="I20" s="17">
        <v>5.6695500958230554</v>
      </c>
      <c r="J20" s="17">
        <v>36.894255484164844</v>
      </c>
      <c r="K20" s="17">
        <v>194.12004412755883</v>
      </c>
      <c r="L20" s="17">
        <v>100.93942961581514</v>
      </c>
      <c r="M20" s="17">
        <v>1.8825071362629311</v>
      </c>
      <c r="N20" s="17">
        <v>1.1450730842370958</v>
      </c>
      <c r="O20" s="17">
        <v>8.2205630927133253</v>
      </c>
      <c r="P20" s="17">
        <v>3.8058664245570188</v>
      </c>
      <c r="Q20" s="17">
        <v>7.9294647204591136E-4</v>
      </c>
      <c r="R20" s="17">
        <v>0.76071243566216995</v>
      </c>
      <c r="S20" s="17">
        <v>0.78879146182729798</v>
      </c>
      <c r="T20" s="17">
        <v>485.30011031889705</v>
      </c>
      <c r="U20" s="17">
        <v>2.7218206058934524</v>
      </c>
      <c r="V20" s="17">
        <v>368.94069414443356</v>
      </c>
    </row>
    <row r="21" spans="2:26" x14ac:dyDescent="0.3">
      <c r="B21" s="17">
        <v>750</v>
      </c>
      <c r="C21" s="17">
        <v>3.0907455465127787</v>
      </c>
      <c r="D21" s="17">
        <v>1.1733045407099962</v>
      </c>
      <c r="E21" s="17">
        <v>1.5397884766306962</v>
      </c>
      <c r="F21" s="17">
        <v>2.8050183820071397</v>
      </c>
      <c r="G21" s="17">
        <v>1.0045071167206743</v>
      </c>
      <c r="H21" s="17">
        <v>2.9426310690947575</v>
      </c>
      <c r="I21" s="17">
        <v>6.3938950186234722</v>
      </c>
      <c r="J21" s="17">
        <v>48.238346125543394</v>
      </c>
      <c r="K21" s="17">
        <v>212.23823419605003</v>
      </c>
      <c r="L21" s="17">
        <v>105.25356004225264</v>
      </c>
      <c r="M21" s="17">
        <v>1.8699139571982328</v>
      </c>
      <c r="N21" s="17">
        <v>1.1262268288454547</v>
      </c>
      <c r="O21" s="17">
        <v>8.6487738547050501</v>
      </c>
      <c r="P21" s="17">
        <v>4.0120580558999741</v>
      </c>
      <c r="Q21" s="17">
        <v>8.1625778220241149E-4</v>
      </c>
      <c r="R21" s="17">
        <v>0.79415965355949536</v>
      </c>
      <c r="S21" s="17">
        <v>0.80390730241588804</v>
      </c>
      <c r="T21" s="17">
        <v>530.59558549012502</v>
      </c>
      <c r="U21" s="17">
        <v>2.8252988721133399</v>
      </c>
      <c r="V21" s="17">
        <v>404.76118529666508</v>
      </c>
    </row>
    <row r="22" spans="2:26" x14ac:dyDescent="0.3">
      <c r="B22" s="17">
        <v>800.00000000000011</v>
      </c>
      <c r="C22" s="17">
        <v>3.1173934843303797</v>
      </c>
      <c r="D22" s="17">
        <v>1.1383330527634061</v>
      </c>
      <c r="E22" s="17">
        <v>1.5412694860114715</v>
      </c>
      <c r="F22" s="17">
        <v>2.8065325482354964</v>
      </c>
      <c r="G22" s="17">
        <v>1.0330018156282741</v>
      </c>
      <c r="H22" s="17">
        <v>3.4691288051130833</v>
      </c>
      <c r="I22" s="17">
        <v>7.1429330882120778</v>
      </c>
      <c r="J22" s="17">
        <v>62.913606293226934</v>
      </c>
      <c r="K22" s="17">
        <v>233.17709736516051</v>
      </c>
      <c r="L22" s="17">
        <v>110.50043569183623</v>
      </c>
      <c r="M22" s="17">
        <v>1.8571112073122706</v>
      </c>
      <c r="N22" s="17">
        <v>1.1076407036497178</v>
      </c>
      <c r="O22" s="17">
        <v>9.087639387171599</v>
      </c>
      <c r="P22" s="17">
        <v>4.2282153795985042</v>
      </c>
      <c r="Q22" s="17">
        <v>8.3949658717156963E-4</v>
      </c>
      <c r="R22" s="17">
        <v>0.82845750521160622</v>
      </c>
      <c r="S22" s="17">
        <v>0.81772333798409824</v>
      </c>
      <c r="T22" s="17">
        <v>582.94274341290134</v>
      </c>
      <c r="U22" s="17">
        <v>2.9300645561034075</v>
      </c>
      <c r="V22" s="17">
        <v>447.69742320413616</v>
      </c>
      <c r="W22" s="21"/>
      <c r="X22" s="21"/>
      <c r="Y22" s="21"/>
      <c r="Z22" s="21"/>
    </row>
    <row r="23" spans="2:26" x14ac:dyDescent="0.3">
      <c r="B23" s="17">
        <v>850.00000000000011</v>
      </c>
      <c r="C23" s="17">
        <v>3.1434638349221058</v>
      </c>
      <c r="D23" s="17">
        <v>1.1039100202102636</v>
      </c>
      <c r="E23" s="17">
        <v>1.5421068241741742</v>
      </c>
      <c r="F23" s="17">
        <v>2.8072526540154357</v>
      </c>
      <c r="G23" s="17">
        <v>1.0613726985385084</v>
      </c>
      <c r="H23" s="17">
        <v>3.9773664473136887</v>
      </c>
      <c r="I23" s="17">
        <v>7.9160573066213615</v>
      </c>
      <c r="J23" s="17">
        <v>82.043236087615213</v>
      </c>
      <c r="K23" s="17">
        <v>257.89040913785033</v>
      </c>
      <c r="L23" s="17">
        <v>116.98291458223341</v>
      </c>
      <c r="M23" s="17">
        <v>1.8441326568514971</v>
      </c>
      <c r="N23" s="17">
        <v>1.0893285717789456</v>
      </c>
      <c r="O23" s="17">
        <v>9.5367775019646093</v>
      </c>
      <c r="P23" s="17">
        <v>4.454676084145361</v>
      </c>
      <c r="Q23" s="17">
        <v>8.6264049813098787E-4</v>
      </c>
      <c r="R23" s="17">
        <v>0.86360461913449049</v>
      </c>
      <c r="S23" s="17">
        <v>0.83028085890397618</v>
      </c>
      <c r="T23" s="17">
        <v>644.72602284462573</v>
      </c>
      <c r="U23" s="17">
        <v>3.0360379909835356</v>
      </c>
      <c r="V23" s="17">
        <v>500.12379051775497</v>
      </c>
      <c r="W23" s="21"/>
      <c r="X23" s="21"/>
      <c r="Y23" s="21"/>
      <c r="Z23" s="21"/>
    </row>
    <row r="24" spans="2:26" x14ac:dyDescent="0.3">
      <c r="B24" s="20">
        <v>900.00000000000011</v>
      </c>
      <c r="C24" s="20">
        <v>3.1689638838626562</v>
      </c>
      <c r="D24" s="20">
        <v>1.070035455695117</v>
      </c>
      <c r="E24" s="20">
        <v>1.5424567100955173</v>
      </c>
      <c r="F24" s="20">
        <v>2.8073738467151998</v>
      </c>
      <c r="G24" s="20">
        <v>1.089593190999959</v>
      </c>
      <c r="H24" s="20">
        <v>4.4638000501786594</v>
      </c>
      <c r="I24" s="20">
        <v>8.7126139107183764</v>
      </c>
      <c r="J24" s="20">
        <v>107.27029753288905</v>
      </c>
      <c r="K24" s="20">
        <v>287.7689864409565</v>
      </c>
      <c r="L24" s="20">
        <v>125.14003470369184</v>
      </c>
      <c r="M24" s="20">
        <v>1.8310105813053528</v>
      </c>
      <c r="N24" s="20">
        <v>1.071303084233084</v>
      </c>
      <c r="O24" s="20">
        <v>9.9957814728889982</v>
      </c>
      <c r="P24" s="20">
        <v>4.6917661365454695</v>
      </c>
      <c r="Q24" s="20">
        <v>8.8566811717443004E-4</v>
      </c>
      <c r="R24" s="20">
        <v>0.89959878338048638</v>
      </c>
      <c r="S24" s="20">
        <v>0.84162287618195641</v>
      </c>
      <c r="T24" s="20">
        <v>719.42246610239113</v>
      </c>
      <c r="U24" s="20">
        <v>3.1431393839335158</v>
      </c>
      <c r="V24" s="20">
        <v>565.5092637123887</v>
      </c>
      <c r="W24" s="21"/>
      <c r="X24" s="21"/>
      <c r="Y24" s="21"/>
      <c r="Z24" s="21"/>
    </row>
    <row r="25" spans="2:26" x14ac:dyDescent="0.3">
      <c r="B25" s="17">
        <v>800.00000000000011</v>
      </c>
      <c r="C25" s="17">
        <v>3.1173934843303797</v>
      </c>
      <c r="D25" s="17">
        <v>1.1383330527634061</v>
      </c>
      <c r="E25" s="17">
        <v>1.5412694860114715</v>
      </c>
      <c r="F25" s="17">
        <v>2.8065325482354964</v>
      </c>
      <c r="G25" s="17">
        <v>1.0330018156282741</v>
      </c>
      <c r="H25" s="17">
        <v>3.4691288051130833</v>
      </c>
      <c r="I25" s="17">
        <v>7.1429330882120778</v>
      </c>
      <c r="J25" s="17">
        <v>62.913606293226934</v>
      </c>
      <c r="K25" s="17">
        <v>233.17709736516051</v>
      </c>
      <c r="L25" s="17">
        <v>110.50043569183623</v>
      </c>
      <c r="M25" s="17">
        <v>1.8571112073122706</v>
      </c>
      <c r="N25" s="17">
        <v>1.1076407036497178</v>
      </c>
      <c r="O25" s="17">
        <v>9.087639387171599</v>
      </c>
      <c r="P25" s="17">
        <v>4.2282153795985042</v>
      </c>
      <c r="Q25" s="17">
        <v>8.3949658717156963E-4</v>
      </c>
      <c r="R25" s="17">
        <v>0.82845750521160622</v>
      </c>
      <c r="S25" s="17">
        <v>0.81772333798409824</v>
      </c>
      <c r="T25" s="17">
        <v>582.94274341290134</v>
      </c>
      <c r="U25" s="17">
        <v>2.9300645561034075</v>
      </c>
      <c r="V25" s="17">
        <v>447.69742320413616</v>
      </c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6" x14ac:dyDescent="0.3">
      <c r="B29" s="17">
        <v>500</v>
      </c>
      <c r="C29" s="17">
        <v>0.77640571062457064</v>
      </c>
      <c r="D29" s="17">
        <v>3.4730888362653878</v>
      </c>
      <c r="E29" s="21">
        <v>0.28792813750059443</v>
      </c>
      <c r="F29" s="21">
        <v>1.1528353975643852E-2</v>
      </c>
      <c r="G29">
        <v>0.67766107140503951</v>
      </c>
      <c r="H29">
        <v>22.359428937542937</v>
      </c>
      <c r="I29" s="25">
        <v>0.58918752020512355</v>
      </c>
      <c r="J29" s="25">
        <v>0.94487128318858982</v>
      </c>
      <c r="K29" s="17">
        <v>0.50713896966741379</v>
      </c>
    </row>
    <row r="30" spans="2:26" x14ac:dyDescent="0.3">
      <c r="B30" s="17">
        <v>550</v>
      </c>
      <c r="C30" s="17">
        <v>0.76807500681361496</v>
      </c>
      <c r="D30" s="17">
        <v>3.3123560480545731</v>
      </c>
      <c r="E30" s="21">
        <v>0.30189991217499829</v>
      </c>
      <c r="F30" s="21">
        <v>1.1409508227685178E-2</v>
      </c>
      <c r="G30">
        <v>0.67114713595942466</v>
      </c>
      <c r="H30">
        <v>23.192499318638504</v>
      </c>
      <c r="I30" s="25">
        <v>0.52903783538001348</v>
      </c>
      <c r="J30" s="25">
        <v>0.85445086957500882</v>
      </c>
      <c r="K30" s="17">
        <v>0.45279817623312379</v>
      </c>
    </row>
    <row r="31" spans="2:26" x14ac:dyDescent="0.3">
      <c r="B31" s="17">
        <v>600</v>
      </c>
      <c r="C31" s="17">
        <v>0.76274506236197259</v>
      </c>
      <c r="D31" s="17">
        <v>3.2154346617852401</v>
      </c>
      <c r="E31" s="21">
        <v>0.31099994407747983</v>
      </c>
      <c r="F31" s="21">
        <v>1.1308661811768277E-2</v>
      </c>
      <c r="G31">
        <v>0.66561974390301926</v>
      </c>
      <c r="H31">
        <v>23.725493763802731</v>
      </c>
      <c r="I31" s="25">
        <v>0.48164948909857774</v>
      </c>
      <c r="J31" s="25">
        <v>0.78200681071062261</v>
      </c>
      <c r="K31" s="17">
        <v>0.40925113824208187</v>
      </c>
    </row>
    <row r="32" spans="2:26" x14ac:dyDescent="0.3">
      <c r="B32" s="17">
        <v>650</v>
      </c>
      <c r="C32" s="17">
        <v>0.76017692971086936</v>
      </c>
      <c r="D32" s="17">
        <v>3.1702606448984065</v>
      </c>
      <c r="E32" s="21">
        <v>0.31543147772698221</v>
      </c>
      <c r="F32" s="21">
        <v>1.1240873785407897E-2</v>
      </c>
      <c r="G32">
        <v>0.66190428217820685</v>
      </c>
      <c r="H32">
        <v>23.982307028913063</v>
      </c>
      <c r="I32" s="25">
        <v>0.44524326931701602</v>
      </c>
      <c r="J32" s="25">
        <v>0.72536254774276887</v>
      </c>
      <c r="K32" s="17">
        <v>0.37516625264250297</v>
      </c>
    </row>
    <row r="33" spans="2:11" x14ac:dyDescent="0.3">
      <c r="B33" s="17">
        <v>700</v>
      </c>
      <c r="C33" s="17">
        <v>0.76023204260554933</v>
      </c>
      <c r="D33" s="17">
        <v>3.1711936245401633</v>
      </c>
      <c r="E33" s="21">
        <v>0.31533867634619894</v>
      </c>
      <c r="F33" s="21">
        <v>1.1179728444851433E-2</v>
      </c>
      <c r="G33">
        <v>0.6585529060623071</v>
      </c>
      <c r="H33">
        <v>23.976795739445055</v>
      </c>
      <c r="I33" s="25">
        <v>0.415423297910678</v>
      </c>
      <c r="J33" s="25">
        <v>0.67763408972435935</v>
      </c>
      <c r="K33" s="17">
        <v>0.34644012753811149</v>
      </c>
    </row>
    <row r="34" spans="2:11" x14ac:dyDescent="0.3">
      <c r="B34" s="17">
        <v>750</v>
      </c>
      <c r="C34" s="17">
        <v>0.76284310756708729</v>
      </c>
      <c r="D34" s="17">
        <v>3.2170980015808421</v>
      </c>
      <c r="E34" s="21">
        <v>0.31083914742684632</v>
      </c>
      <c r="F34" s="21">
        <v>1.1129047836412533E-2</v>
      </c>
      <c r="G34">
        <v>0.65577510191377097</v>
      </c>
      <c r="H34">
        <v>23.715689243291273</v>
      </c>
      <c r="I34" s="25">
        <v>0.39128957847631385</v>
      </c>
      <c r="J34" s="25">
        <v>0.6375117292654856</v>
      </c>
      <c r="K34" s="17">
        <v>0.32227853971765508</v>
      </c>
    </row>
    <row r="35" spans="2:11" x14ac:dyDescent="0.3">
      <c r="B35" s="17">
        <v>800.00000000000011</v>
      </c>
      <c r="C35" s="17">
        <v>0.76799553346018712</v>
      </c>
      <c r="D35" s="17">
        <v>3.3107371467416415</v>
      </c>
      <c r="E35" s="21">
        <v>0.30204753674998908</v>
      </c>
      <c r="F35" s="21">
        <v>1.1090849514401464E-2</v>
      </c>
      <c r="G35">
        <v>0.65368145188434423</v>
      </c>
      <c r="H35">
        <v>23.200446653981288</v>
      </c>
      <c r="I35" s="25">
        <v>0.37217854911101822</v>
      </c>
      <c r="J35" s="25">
        <v>0.60389489005271357</v>
      </c>
      <c r="K35" s="17">
        <v>0.30201493343058861</v>
      </c>
    </row>
    <row r="36" spans="2:11" x14ac:dyDescent="0.3">
      <c r="B36" s="17">
        <v>850.00000000000011</v>
      </c>
      <c r="C36" s="17">
        <v>0.77571522289597594</v>
      </c>
      <c r="D36" s="17">
        <v>3.4590972009939254</v>
      </c>
      <c r="E36" s="17">
        <v>0.28909277244729153</v>
      </c>
      <c r="F36" s="21">
        <v>1.1051438639014656E-2</v>
      </c>
      <c r="G36">
        <v>0.65152134180439336</v>
      </c>
      <c r="H36">
        <v>22.428477710402394</v>
      </c>
      <c r="I36" s="17">
        <v>0.35640606581724499</v>
      </c>
      <c r="J36" s="17">
        <v>0.57381526783056802</v>
      </c>
      <c r="K36" s="17">
        <v>0.28388754369627789</v>
      </c>
    </row>
    <row r="37" spans="2:11" x14ac:dyDescent="0.3">
      <c r="B37" s="20">
        <v>900.00000000000011</v>
      </c>
      <c r="C37" s="20">
        <v>0.78606005561119507</v>
      </c>
      <c r="D37" s="20">
        <v>3.6747033070570199</v>
      </c>
      <c r="E37" s="20">
        <v>0.27213081341276379</v>
      </c>
      <c r="F37" s="20">
        <v>1.1019618698023101E-2</v>
      </c>
      <c r="G37" s="20">
        <v>0.64977729083864622</v>
      </c>
      <c r="H37" s="20">
        <v>21.393994438880494</v>
      </c>
      <c r="I37" s="17">
        <v>0.34461609982786973</v>
      </c>
      <c r="J37" s="17">
        <v>0.54797165579528284</v>
      </c>
      <c r="K37" s="17">
        <v>0.26829838841603093</v>
      </c>
    </row>
    <row r="38" spans="2:11" x14ac:dyDescent="0.3">
      <c r="B38" s="17">
        <v>800.00000000000011</v>
      </c>
      <c r="C38" s="17">
        <v>0.76799553346018712</v>
      </c>
      <c r="D38" s="17">
        <v>3.3107371467416415</v>
      </c>
      <c r="E38" s="17">
        <v>0.30204753674998908</v>
      </c>
      <c r="F38" s="17">
        <v>1.1090849514401464E-2</v>
      </c>
      <c r="G38" s="17">
        <v>0.65368145188434423</v>
      </c>
      <c r="H38" s="21">
        <v>23.200446653981288</v>
      </c>
      <c r="I38" s="17">
        <v>0.37217854911101822</v>
      </c>
      <c r="J38" s="17">
        <v>0.60389489005271357</v>
      </c>
      <c r="K38" s="17">
        <v>0.30201493343058861</v>
      </c>
    </row>
    <row r="39" spans="2:11" x14ac:dyDescent="0.3">
      <c r="F39" s="21"/>
      <c r="G39" s="21"/>
      <c r="H3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8F8E6-609F-4748-8A52-08E74E409D1F}">
  <dimension ref="B2:V34"/>
  <sheetViews>
    <sheetView topLeftCell="A17" workbookViewId="0">
      <selection activeCell="B29" sqref="B29:K34"/>
    </sheetView>
  </sheetViews>
  <sheetFormatPr baseColWidth="10" defaultRowHeight="14.4" x14ac:dyDescent="0.3"/>
  <cols>
    <col min="1" max="9" width="11.5546875" style="17"/>
    <col min="10" max="10" width="15" style="17" customWidth="1"/>
    <col min="11" max="16384" width="11.5546875" style="17"/>
  </cols>
  <sheetData>
    <row r="2" spans="2:22" x14ac:dyDescent="0.3">
      <c r="B2" s="18" t="s">
        <v>243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2.5</v>
      </c>
      <c r="C3" s="17">
        <v>0.14816689369741928</v>
      </c>
      <c r="D3" s="17">
        <v>6.7342358759702702E-3</v>
      </c>
      <c r="E3" s="17">
        <v>56.964645761388169</v>
      </c>
      <c r="F3" s="17">
        <v>21.165348938260554</v>
      </c>
      <c r="G3" s="17">
        <v>55.908324645574957</v>
      </c>
      <c r="H3" s="17">
        <v>59.189719664805004</v>
      </c>
      <c r="I3" s="17">
        <v>57.729279005009204</v>
      </c>
      <c r="J3" s="17">
        <v>26</v>
      </c>
      <c r="K3" s="17">
        <v>0.11950172563922697</v>
      </c>
      <c r="L3" s="17">
        <v>1.0679490088069992</v>
      </c>
    </row>
    <row r="4" spans="2:22" x14ac:dyDescent="0.3">
      <c r="B4" s="17">
        <v>2.7</v>
      </c>
      <c r="C4" s="17">
        <v>0.15566697058060769</v>
      </c>
      <c r="D4" s="17">
        <v>7.5293584802110817E-3</v>
      </c>
      <c r="E4" s="17">
        <v>57.545256030232352</v>
      </c>
      <c r="F4" s="17">
        <v>21.351660780792912</v>
      </c>
      <c r="G4" s="17">
        <v>56.402821541456284</v>
      </c>
      <c r="H4" s="17">
        <v>58.944174168235278</v>
      </c>
      <c r="I4" s="17">
        <v>57.489748166950314</v>
      </c>
      <c r="J4" s="17">
        <v>26</v>
      </c>
      <c r="K4" s="17">
        <v>0.13305711404850473</v>
      </c>
      <c r="L4" s="17">
        <v>1.1890892144253362</v>
      </c>
    </row>
    <row r="5" spans="2:22" x14ac:dyDescent="0.3">
      <c r="B5" s="17">
        <v>2.9</v>
      </c>
      <c r="C5" s="17">
        <v>0.16227893989998951</v>
      </c>
      <c r="D5" s="17">
        <v>8.1624683336946058E-3</v>
      </c>
      <c r="E5" s="17">
        <v>57.867796024364097</v>
      </c>
      <c r="F5" s="17">
        <v>21.451381804251511</v>
      </c>
      <c r="G5" s="17">
        <v>56.667788907976181</v>
      </c>
      <c r="H5" s="17">
        <v>58.761692285486703</v>
      </c>
      <c r="I5" s="17">
        <v>57.311736430927176</v>
      </c>
      <c r="J5" s="17">
        <v>26</v>
      </c>
      <c r="K5" s="17">
        <v>0.14379864522624392</v>
      </c>
      <c r="L5" s="17">
        <v>1.285082870692426</v>
      </c>
    </row>
    <row r="6" spans="2:22" x14ac:dyDescent="0.3">
      <c r="B6" s="17">
        <v>3.1</v>
      </c>
      <c r="C6" s="17">
        <v>0.16816932560061704</v>
      </c>
      <c r="D6" s="17">
        <v>8.686527999868951E-3</v>
      </c>
      <c r="E6" s="17">
        <v>58.033954827081338</v>
      </c>
      <c r="F6" s="17">
        <v>21.498673305116203</v>
      </c>
      <c r="G6" s="17">
        <v>56.79378761358371</v>
      </c>
      <c r="H6" s="17">
        <v>58.618045868696775</v>
      </c>
      <c r="I6" s="17">
        <v>57.171608974412401</v>
      </c>
      <c r="J6" s="17">
        <v>26</v>
      </c>
      <c r="K6" s="17">
        <v>0.15265687096659597</v>
      </c>
      <c r="L6" s="17">
        <v>1.3642460237648557</v>
      </c>
    </row>
    <row r="7" spans="2:22" x14ac:dyDescent="0.3">
      <c r="B7" s="17">
        <v>3.3</v>
      </c>
      <c r="C7" s="17">
        <v>0.17345261418436411</v>
      </c>
      <c r="D7" s="17">
        <v>9.1364978290003895E-3</v>
      </c>
      <c r="E7" s="17">
        <v>58.09849493424899</v>
      </c>
      <c r="F7" s="17">
        <v>21.511617804235726</v>
      </c>
      <c r="G7" s="17">
        <v>56.828779788176234</v>
      </c>
      <c r="H7" s="17">
        <v>58.499426691536961</v>
      </c>
      <c r="I7" s="17">
        <v>57.055895750215626</v>
      </c>
      <c r="J7" s="17">
        <v>26</v>
      </c>
      <c r="K7" s="17">
        <v>0.16023965484701469</v>
      </c>
      <c r="L7" s="17">
        <v>1.4320109575829549</v>
      </c>
    </row>
    <row r="8" spans="2:22" x14ac:dyDescent="0.3">
      <c r="B8" s="17">
        <v>3.5</v>
      </c>
      <c r="C8" s="17">
        <v>0.17821771118453278</v>
      </c>
      <c r="D8" s="17">
        <v>9.5336854968264082E-3</v>
      </c>
      <c r="E8" s="17">
        <v>58.093587340872254</v>
      </c>
      <c r="F8" s="17">
        <v>21.500883358703305</v>
      </c>
      <c r="G8" s="17">
        <v>56.801054877285281</v>
      </c>
      <c r="H8" s="17">
        <v>58.397997958337498</v>
      </c>
      <c r="I8" s="17">
        <v>56.956951903247862</v>
      </c>
      <c r="J8" s="17">
        <v>26</v>
      </c>
      <c r="K8" s="17">
        <v>0.16691573452926184</v>
      </c>
      <c r="L8" s="17">
        <v>1.4916729636438284</v>
      </c>
    </row>
    <row r="15" spans="2:22" x14ac:dyDescent="0.3">
      <c r="B15" s="18" t="s">
        <v>243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2.5</v>
      </c>
      <c r="C16" s="17">
        <v>2.6648478767473245</v>
      </c>
      <c r="D16" s="17">
        <v>0.98637006924873272</v>
      </c>
      <c r="E16" s="17">
        <v>1.5424567100955173</v>
      </c>
      <c r="F16" s="17">
        <v>2.3988101530183341</v>
      </c>
      <c r="G16" s="17">
        <v>0.99703770676192471</v>
      </c>
      <c r="H16" s="17">
        <v>6.9476550741795799</v>
      </c>
      <c r="I16" s="17">
        <v>9.2492997745483656</v>
      </c>
      <c r="J16" s="17">
        <v>102.3755615721311</v>
      </c>
      <c r="K16" s="17">
        <v>274.63810828811501</v>
      </c>
      <c r="L16" s="17">
        <v>119.16108401865955</v>
      </c>
      <c r="M16" s="17">
        <v>3.5346036023974392</v>
      </c>
      <c r="N16" s="17">
        <v>2.7601883775233755</v>
      </c>
      <c r="O16" s="17">
        <v>8.1751551300820342</v>
      </c>
      <c r="P16" s="17">
        <v>3.7000428190667423</v>
      </c>
      <c r="Q16" s="17">
        <v>8.0994118158368082E-4</v>
      </c>
      <c r="R16" s="17">
        <v>0.75406058026615341</v>
      </c>
      <c r="S16" s="17">
        <v>-1.4577184054056023</v>
      </c>
      <c r="T16" s="17">
        <v>686.59527072028743</v>
      </c>
      <c r="U16" s="17">
        <v>2.8287445516591152</v>
      </c>
      <c r="V16" s="17">
        <v>541.25711784027646</v>
      </c>
    </row>
    <row r="17" spans="2:22" x14ac:dyDescent="0.3">
      <c r="B17" s="17">
        <v>2.7</v>
      </c>
      <c r="C17" s="17">
        <v>3.0873746791042942</v>
      </c>
      <c r="D17" s="17">
        <v>1.0581726709377508</v>
      </c>
      <c r="E17" s="17">
        <v>1.5424567100955173</v>
      </c>
      <c r="F17" s="17">
        <v>2.74151919271308</v>
      </c>
      <c r="G17" s="17">
        <v>1.0765328210015159</v>
      </c>
      <c r="H17" s="17">
        <v>4.8122007797128168</v>
      </c>
      <c r="I17" s="17">
        <v>8.7983787257595463</v>
      </c>
      <c r="J17" s="17">
        <v>106.47250431367063</v>
      </c>
      <c r="K17" s="17">
        <v>285.62878406094933</v>
      </c>
      <c r="L17" s="17">
        <v>124.16319568817148</v>
      </c>
      <c r="M17" s="17">
        <v>3.1814466598366935</v>
      </c>
      <c r="N17" s="17">
        <v>2.529223250303231</v>
      </c>
      <c r="O17" s="17">
        <v>9.724441884323193</v>
      </c>
      <c r="P17" s="17">
        <v>4.529450195716997</v>
      </c>
      <c r="Q17" s="17">
        <v>8.7497071764366474E-4</v>
      </c>
      <c r="R17" s="17">
        <v>0.87717648611728305</v>
      </c>
      <c r="S17" s="17">
        <v>-1.8187458306705648</v>
      </c>
      <c r="T17" s="17">
        <v>714.07196015237332</v>
      </c>
      <c r="U17" s="17">
        <v>3.1808572198766729</v>
      </c>
      <c r="V17" s="17">
        <v>561.58584447833709</v>
      </c>
    </row>
    <row r="18" spans="2:22" x14ac:dyDescent="0.3">
      <c r="B18" s="17">
        <v>2.9</v>
      </c>
      <c r="C18" s="17">
        <v>3.4833349591886873</v>
      </c>
      <c r="D18" s="17">
        <v>1.1128283922583833</v>
      </c>
      <c r="E18" s="17">
        <v>1.5424567100955173</v>
      </c>
      <c r="F18" s="17">
        <v>3.0626461462244623</v>
      </c>
      <c r="G18" s="17">
        <v>1.134911883330149</v>
      </c>
      <c r="H18" s="17">
        <v>3.2619581509413549</v>
      </c>
      <c r="I18" s="17">
        <v>8.3890102350076639</v>
      </c>
      <c r="J18" s="17">
        <v>110.37627722141367</v>
      </c>
      <c r="K18" s="17">
        <v>296.10125219792326</v>
      </c>
      <c r="L18" s="17">
        <v>128.95181516126439</v>
      </c>
      <c r="M18" s="17">
        <v>2.8853526256065507</v>
      </c>
      <c r="N18" s="17">
        <v>2.3603321076499659</v>
      </c>
      <c r="O18" s="17">
        <v>10.97919765967354</v>
      </c>
      <c r="P18" s="17">
        <v>5.3268577223470821</v>
      </c>
      <c r="Q18" s="17">
        <v>9.2282153852808952E-4</v>
      </c>
      <c r="R18" s="17">
        <v>0.98324170106960251</v>
      </c>
      <c r="S18" s="17">
        <v>-1.9782079329278976</v>
      </c>
      <c r="T18" s="17">
        <v>740.25313049480803</v>
      </c>
      <c r="U18" s="17">
        <v>3.4629181106772062</v>
      </c>
      <c r="V18" s="17">
        <v>581.43710587328212</v>
      </c>
    </row>
    <row r="19" spans="2:22" x14ac:dyDescent="0.3">
      <c r="B19" s="17">
        <v>3.1</v>
      </c>
      <c r="C19" s="17">
        <v>3.849845505000594</v>
      </c>
      <c r="D19" s="17">
        <v>1.1592727723247735</v>
      </c>
      <c r="E19" s="17">
        <v>1.5424567100955173</v>
      </c>
      <c r="F19" s="17">
        <v>3.3649348540762438</v>
      </c>
      <c r="G19" s="17">
        <v>1.180098670358233</v>
      </c>
      <c r="H19" s="17">
        <v>2.0882936759883304</v>
      </c>
      <c r="I19" s="17">
        <v>8.0256331977169904</v>
      </c>
      <c r="J19" s="17">
        <v>114.05521230881628</v>
      </c>
      <c r="K19" s="17">
        <v>305.9705584796489</v>
      </c>
      <c r="L19" s="17">
        <v>133.48492502395891</v>
      </c>
      <c r="M19" s="17">
        <v>2.6354072076822548</v>
      </c>
      <c r="N19" s="17">
        <v>2.2303460991928903</v>
      </c>
      <c r="O19" s="17">
        <v>12.030465799378224</v>
      </c>
      <c r="P19" s="17">
        <v>6.0914841011854417</v>
      </c>
      <c r="Q19" s="17">
        <v>9.5992122731354003E-4</v>
      </c>
      <c r="R19" s="17">
        <v>1.0770012172548296</v>
      </c>
      <c r="S19" s="17">
        <v>-2.0298275997064565</v>
      </c>
      <c r="T19" s="17">
        <v>764.92639619912222</v>
      </c>
      <c r="U19" s="17">
        <v>3.6974779927046795</v>
      </c>
      <c r="V19" s="17">
        <v>600.45454593690408</v>
      </c>
    </row>
    <row r="20" spans="2:22" x14ac:dyDescent="0.3">
      <c r="B20" s="17">
        <v>3.3</v>
      </c>
      <c r="C20" s="17">
        <v>4.1897807746840847</v>
      </c>
      <c r="D20" s="17">
        <v>1.2005121499819216</v>
      </c>
      <c r="E20" s="17">
        <v>1.5424567100955173</v>
      </c>
      <c r="F20" s="17">
        <v>3.6506399459165988</v>
      </c>
      <c r="G20" s="17">
        <v>1.2168194568160069</v>
      </c>
      <c r="H20" s="17">
        <v>1.1736306340101292</v>
      </c>
      <c r="I20" s="17">
        <v>7.7003977334383675</v>
      </c>
      <c r="J20" s="17">
        <v>117.50774436055892</v>
      </c>
      <c r="K20" s="17">
        <v>315.23250397653982</v>
      </c>
      <c r="L20" s="17">
        <v>137.75725064697997</v>
      </c>
      <c r="M20" s="17">
        <v>2.4234137716096513</v>
      </c>
      <c r="N20" s="17">
        <v>2.1260232594346991</v>
      </c>
      <c r="O20" s="17">
        <v>12.941619902553503</v>
      </c>
      <c r="P20" s="17">
        <v>6.8292880756010712</v>
      </c>
      <c r="Q20" s="17">
        <v>9.9011228412205468E-4</v>
      </c>
      <c r="R20" s="17">
        <v>1.1620598783187359</v>
      </c>
      <c r="S20" s="17">
        <v>-2.026489666506686</v>
      </c>
      <c r="T20" s="17">
        <v>788.08125994134957</v>
      </c>
      <c r="U20" s="17">
        <v>3.8996313447041677</v>
      </c>
      <c r="V20" s="17">
        <v>618.52827306702056</v>
      </c>
    </row>
    <row r="21" spans="2:22" x14ac:dyDescent="0.3">
      <c r="B21" s="17">
        <v>3.5</v>
      </c>
      <c r="C21" s="17">
        <v>4.5064720702113261</v>
      </c>
      <c r="D21" s="17">
        <v>1.2378443466263889</v>
      </c>
      <c r="E21" s="17">
        <v>1.5424567100955173</v>
      </c>
      <c r="F21" s="17">
        <v>3.9216241291317857</v>
      </c>
      <c r="G21" s="17">
        <v>1.2477923804527091</v>
      </c>
      <c r="H21" s="17">
        <v>0.44774442370759787</v>
      </c>
      <c r="I21" s="17">
        <v>7.4057577728634207</v>
      </c>
      <c r="J21" s="17">
        <v>120.74612116199641</v>
      </c>
      <c r="K21" s="17">
        <v>323.91994524683048</v>
      </c>
      <c r="L21" s="17">
        <v>141.78080722790236</v>
      </c>
      <c r="M21" s="17">
        <v>2.2427534299674861</v>
      </c>
      <c r="N21" s="17">
        <v>2.0396538942054714</v>
      </c>
      <c r="O21" s="17">
        <v>13.751892148659186</v>
      </c>
      <c r="P21" s="17">
        <v>7.5454352560223921</v>
      </c>
      <c r="Q21" s="17">
        <v>1.0156068599449534E-3</v>
      </c>
      <c r="R21" s="17">
        <v>1.240742535294457</v>
      </c>
      <c r="S21" s="17">
        <v>-1.9959093778783614</v>
      </c>
      <c r="T21" s="17">
        <v>809.79986311707626</v>
      </c>
      <c r="U21" s="17">
        <v>4.0786349558568915</v>
      </c>
      <c r="V21" s="17">
        <v>635.66078391880546</v>
      </c>
    </row>
    <row r="28" spans="2:22" x14ac:dyDescent="0.3">
      <c r="B28" s="18" t="s">
        <v>243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2.5</v>
      </c>
      <c r="C29" s="17">
        <v>0.78832048649630093</v>
      </c>
      <c r="D29" s="17">
        <v>3.7245806284405534</v>
      </c>
      <c r="E29" s="17">
        <v>0.26848660285780696</v>
      </c>
      <c r="F29" s="17">
        <v>1.0953340502488237E-2</v>
      </c>
      <c r="G29" s="17">
        <v>0.64614458294138033</v>
      </c>
      <c r="H29" s="17">
        <v>21.167951350369908</v>
      </c>
      <c r="I29" s="17">
        <v>0.34227557338586767</v>
      </c>
      <c r="J29" s="17">
        <v>0.5548833499916922</v>
      </c>
      <c r="K29" s="17">
        <v>0.26660671501238004</v>
      </c>
    </row>
    <row r="30" spans="2:22" x14ac:dyDescent="0.3">
      <c r="B30" s="17">
        <v>2.7</v>
      </c>
      <c r="C30" s="17">
        <v>0.78645553363907783</v>
      </c>
      <c r="D30" s="17">
        <v>3.6833459547396958</v>
      </c>
      <c r="E30" s="17">
        <v>0.2714922823671258</v>
      </c>
      <c r="F30" s="17">
        <v>1.094156940291963E-2</v>
      </c>
      <c r="G30" s="17">
        <v>0.64549940897402491</v>
      </c>
      <c r="H30" s="17">
        <v>21.354446636092216</v>
      </c>
      <c r="I30" s="17">
        <v>0.34415283549829428</v>
      </c>
      <c r="J30" s="17">
        <v>0.55975126890578497</v>
      </c>
      <c r="K30" s="17">
        <v>0.26807615264009277</v>
      </c>
    </row>
    <row r="31" spans="2:22" x14ac:dyDescent="0.3">
      <c r="B31" s="17">
        <v>2.9</v>
      </c>
      <c r="C31" s="17">
        <v>0.78545713880957391</v>
      </c>
      <c r="D31" s="17">
        <v>3.6615689654728993</v>
      </c>
      <c r="E31" s="17">
        <v>0.27310696846887</v>
      </c>
      <c r="F31" s="17">
        <v>1.0928430721673115E-2</v>
      </c>
      <c r="G31" s="17">
        <v>0.64477927785490341</v>
      </c>
      <c r="H31" s="17">
        <v>21.4542861190426</v>
      </c>
      <c r="I31" s="17">
        <v>0.34609269486344429</v>
      </c>
      <c r="J31" s="17">
        <v>0.56468232790516182</v>
      </c>
      <c r="K31" s="17">
        <v>0.26990580548077292</v>
      </c>
    </row>
    <row r="32" spans="2:22" x14ac:dyDescent="0.3">
      <c r="B32" s="17">
        <v>3.1</v>
      </c>
      <c r="C32" s="17">
        <v>0.7849834296744499</v>
      </c>
      <c r="D32" s="17">
        <v>3.651311029911978</v>
      </c>
      <c r="E32" s="17">
        <v>0.2738742308743024</v>
      </c>
      <c r="F32" s="17">
        <v>1.0919211198850547E-2</v>
      </c>
      <c r="G32" s="17">
        <v>0.64427395580899849</v>
      </c>
      <c r="H32" s="17">
        <v>21.501657032555009</v>
      </c>
      <c r="I32" s="17">
        <v>0.34855819919645442</v>
      </c>
      <c r="J32" s="17">
        <v>0.57006413642300191</v>
      </c>
      <c r="K32" s="17">
        <v>0.27219139747597909</v>
      </c>
    </row>
    <row r="33" spans="2:11" x14ac:dyDescent="0.3">
      <c r="B33" s="17">
        <v>3.3</v>
      </c>
      <c r="C33" s="17">
        <v>0.78485342122340596</v>
      </c>
      <c r="D33" s="17">
        <v>3.6485095094468676</v>
      </c>
      <c r="E33" s="17">
        <v>0.27408452613615497</v>
      </c>
      <c r="F33" s="17">
        <v>1.0910511029656671E-2</v>
      </c>
      <c r="G33" s="17">
        <v>0.64379709953548214</v>
      </c>
      <c r="H33" s="17">
        <v>21.514657877659392</v>
      </c>
      <c r="I33" s="17">
        <v>0.35097320608728932</v>
      </c>
      <c r="J33" s="17">
        <v>0.57505965611498933</v>
      </c>
      <c r="K33" s="17">
        <v>0.27438199685895309</v>
      </c>
    </row>
    <row r="34" spans="2:11" x14ac:dyDescent="0.3">
      <c r="B34" s="17">
        <v>3.5</v>
      </c>
      <c r="C34" s="17">
        <v>0.78496034992155239</v>
      </c>
      <c r="D34" s="17">
        <v>3.6508283721459738</v>
      </c>
      <c r="E34" s="17">
        <v>0.27391043841707502</v>
      </c>
      <c r="F34" s="17">
        <v>1.090316275126973E-2</v>
      </c>
      <c r="G34" s="17">
        <v>0.64339434039709387</v>
      </c>
      <c r="H34" s="17">
        <v>21.503965007844748</v>
      </c>
      <c r="I34" s="17">
        <v>0.35352644778452369</v>
      </c>
      <c r="J34" s="17">
        <v>0.58007808048436504</v>
      </c>
      <c r="K34" s="17">
        <v>0.27667135279187088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8E15-0944-4FE7-87E9-AAA093D2FC4F}">
  <dimension ref="B2:V35"/>
  <sheetViews>
    <sheetView topLeftCell="A17" workbookViewId="0">
      <selection activeCell="B29" sqref="B29:K35"/>
    </sheetView>
  </sheetViews>
  <sheetFormatPr baseColWidth="10" defaultRowHeight="14.4" x14ac:dyDescent="0.3"/>
  <cols>
    <col min="1" max="16384" width="11.5546875" style="17"/>
  </cols>
  <sheetData>
    <row r="2" spans="2:22" x14ac:dyDescent="0.3">
      <c r="B2" s="18" t="s">
        <v>77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0.6</v>
      </c>
      <c r="C3" s="17">
        <v>8.4211561976013968E-2</v>
      </c>
      <c r="D3" s="17">
        <v>7.8630926606964024E-3</v>
      </c>
      <c r="E3" s="17">
        <v>41.852285461263897</v>
      </c>
      <c r="F3" s="17">
        <v>15.224184069933031</v>
      </c>
      <c r="G3" s="17">
        <v>40.244486029293242</v>
      </c>
      <c r="H3" s="17">
        <v>58.846679079728716</v>
      </c>
      <c r="I3" s="17">
        <v>57.394641330672847</v>
      </c>
      <c r="J3" s="17">
        <v>26</v>
      </c>
      <c r="K3" s="17">
        <v>0.1387249120209072</v>
      </c>
      <c r="L3" s="17">
        <v>1.2397405267337387</v>
      </c>
    </row>
    <row r="4" spans="2:22" x14ac:dyDescent="0.3">
      <c r="B4" s="17">
        <v>0.65</v>
      </c>
      <c r="C4" s="17">
        <v>9.5281754998553791E-2</v>
      </c>
      <c r="D4" s="17">
        <v>7.8332887957953384E-3</v>
      </c>
      <c r="E4" s="17">
        <v>44.933380647869939</v>
      </c>
      <c r="F4" s="17">
        <v>16.426025261648309</v>
      </c>
      <c r="G4" s="17">
        <v>43.413869684623059</v>
      </c>
      <c r="H4" s="17">
        <v>58.855264463648282</v>
      </c>
      <c r="I4" s="17">
        <v>57.403016403607651</v>
      </c>
      <c r="J4" s="17">
        <v>26</v>
      </c>
      <c r="K4" s="17">
        <v>0.13821926232939638</v>
      </c>
      <c r="L4" s="17">
        <v>1.2352216958636071</v>
      </c>
    </row>
    <row r="5" spans="2:22" x14ac:dyDescent="0.3">
      <c r="B5" s="17">
        <v>0.7</v>
      </c>
      <c r="C5" s="17">
        <v>0.10635197332921997</v>
      </c>
      <c r="D5" s="17">
        <v>7.8034867682354944E-3</v>
      </c>
      <c r="E5" s="17">
        <v>47.714779598232759</v>
      </c>
      <c r="F5" s="17">
        <v>17.510963835453079</v>
      </c>
      <c r="G5" s="17">
        <v>46.274968579604028</v>
      </c>
      <c r="H5" s="17">
        <v>58.863872564958399</v>
      </c>
      <c r="I5" s="17">
        <v>57.41141363788779</v>
      </c>
      <c r="J5" s="17">
        <v>26</v>
      </c>
      <c r="K5" s="17">
        <v>0.13771354476645351</v>
      </c>
      <c r="L5" s="17">
        <v>1.2307022584480201</v>
      </c>
    </row>
    <row r="6" spans="2:22" x14ac:dyDescent="0.3">
      <c r="B6" s="17">
        <v>0.75</v>
      </c>
      <c r="C6" s="17">
        <v>0.11742221717459934</v>
      </c>
      <c r="D6" s="17">
        <v>7.7736866894088322E-3</v>
      </c>
      <c r="E6" s="17">
        <v>50.238175942453665</v>
      </c>
      <c r="F6" s="17">
        <v>18.495263231853045</v>
      </c>
      <c r="G6" s="17">
        <v>48.870671154301007</v>
      </c>
      <c r="H6" s="17">
        <v>58.87250352156601</v>
      </c>
      <c r="I6" s="17">
        <v>57.419833168045585</v>
      </c>
      <c r="J6" s="17">
        <v>26</v>
      </c>
      <c r="K6" s="17">
        <v>0.13720776102482798</v>
      </c>
      <c r="L6" s="17">
        <v>1.2261822296145422</v>
      </c>
    </row>
    <row r="7" spans="2:22" x14ac:dyDescent="0.3">
      <c r="B7" s="17">
        <v>0.8</v>
      </c>
      <c r="C7" s="17">
        <v>0.1284924867425066</v>
      </c>
      <c r="D7" s="17">
        <v>7.743888671611427E-3</v>
      </c>
      <c r="E7" s="17">
        <v>52.537872183380308</v>
      </c>
      <c r="F7" s="17">
        <v>19.392303833181266</v>
      </c>
      <c r="G7" s="17">
        <v>51.236262914607892</v>
      </c>
      <c r="H7" s="17">
        <v>58.881157472721988</v>
      </c>
      <c r="I7" s="17">
        <v>57.428275129924344</v>
      </c>
      <c r="J7" s="17">
        <v>26</v>
      </c>
      <c r="K7" s="17">
        <v>0.13670191281265232</v>
      </c>
      <c r="L7" s="17">
        <v>1.2216616246282117</v>
      </c>
    </row>
    <row r="8" spans="2:22" x14ac:dyDescent="0.3">
      <c r="B8" s="17">
        <v>0.85</v>
      </c>
      <c r="C8" s="17">
        <v>0.13956278198500702</v>
      </c>
      <c r="D8" s="17">
        <v>7.7140927853093831E-3</v>
      </c>
      <c r="E8" s="17">
        <v>54.642345188567177</v>
      </c>
      <c r="F8" s="17">
        <v>20.213193673801996</v>
      </c>
      <c r="G8" s="17">
        <v>53.401036935557514</v>
      </c>
      <c r="H8" s="17">
        <v>58.889834571503116</v>
      </c>
      <c r="I8" s="17">
        <v>57.436739672854706</v>
      </c>
      <c r="J8" s="17">
        <v>26</v>
      </c>
      <c r="K8" s="17">
        <v>0.13619600112778463</v>
      </c>
      <c r="L8" s="17">
        <v>1.2171404524065699</v>
      </c>
    </row>
    <row r="9" spans="2:22" x14ac:dyDescent="0.3">
      <c r="B9" s="17">
        <v>0.9</v>
      </c>
      <c r="C9" s="17">
        <v>0.15063310366538565</v>
      </c>
      <c r="D9" s="17">
        <v>7.684299236637172E-3</v>
      </c>
      <c r="E9" s="17">
        <v>56.575443092400867</v>
      </c>
      <c r="F9" s="17">
        <v>20.967235070973341</v>
      </c>
      <c r="G9" s="17">
        <v>55.389524438458395</v>
      </c>
      <c r="H9" s="17">
        <v>58.898534933099697</v>
      </c>
      <c r="I9" s="17">
        <v>57.445226909208898</v>
      </c>
      <c r="J9" s="17">
        <v>26</v>
      </c>
      <c r="K9" s="17">
        <v>0.13569002927177837</v>
      </c>
      <c r="L9" s="17">
        <v>1.2126187424545529</v>
      </c>
    </row>
    <row r="15" spans="2:22" x14ac:dyDescent="0.3">
      <c r="B15" s="18" t="s">
        <v>77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0.6</v>
      </c>
      <c r="C16" s="17">
        <v>3.1885506685029612</v>
      </c>
      <c r="D16" s="17">
        <v>1.0438763107473461</v>
      </c>
      <c r="E16" s="17">
        <v>8.6102319558728482</v>
      </c>
      <c r="F16" s="17">
        <v>15.551202889850712</v>
      </c>
      <c r="G16" s="17">
        <v>1.1115831277611814</v>
      </c>
      <c r="H16" s="17">
        <v>4.8281167891059305</v>
      </c>
      <c r="I16" s="17">
        <v>9.3526697515099073</v>
      </c>
      <c r="J16" s="17">
        <v>79.195967005262375</v>
      </c>
      <c r="K16" s="17">
        <v>212.45529917849188</v>
      </c>
      <c r="L16" s="17">
        <v>91.682455189337773</v>
      </c>
      <c r="M16" s="17">
        <v>3.1149417500136498</v>
      </c>
      <c r="N16" s="17">
        <v>2.4590399198083133</v>
      </c>
      <c r="O16" s="17">
        <v>10.362045100531315</v>
      </c>
      <c r="P16" s="17">
        <v>4.8851662034555785</v>
      </c>
      <c r="Q16" s="17">
        <v>9.0361665491794604E-4</v>
      </c>
      <c r="R16" s="17">
        <v>0.92839153384896267</v>
      </c>
      <c r="S16" s="17">
        <v>-1.8437574346038494</v>
      </c>
      <c r="T16" s="17">
        <v>531.13824794622963</v>
      </c>
      <c r="U16" s="17">
        <v>3.3293594659212076</v>
      </c>
      <c r="V16" s="17">
        <v>450.25604302207307</v>
      </c>
    </row>
    <row r="17" spans="2:22" x14ac:dyDescent="0.3">
      <c r="B17" s="17">
        <v>0.65</v>
      </c>
      <c r="C17" s="17">
        <v>3.1856026611351265</v>
      </c>
      <c r="D17" s="17">
        <v>1.0478213709567898</v>
      </c>
      <c r="E17" s="17">
        <v>7.5444300571883796</v>
      </c>
      <c r="F17" s="17">
        <v>13.641822894306621</v>
      </c>
      <c r="G17" s="17">
        <v>1.1082559641090983</v>
      </c>
      <c r="H17" s="17">
        <v>4.7738608169536452</v>
      </c>
      <c r="I17" s="17">
        <v>9.2547297393386696</v>
      </c>
      <c r="J17" s="17">
        <v>83.462458846272</v>
      </c>
      <c r="K17" s="17">
        <v>223.90081635317406</v>
      </c>
      <c r="L17" s="17">
        <v>96.731337537772518</v>
      </c>
      <c r="M17" s="17">
        <v>3.1154534616739804</v>
      </c>
      <c r="N17" s="17">
        <v>2.4639194285192669</v>
      </c>
      <c r="O17" s="17">
        <v>10.306141862922569</v>
      </c>
      <c r="P17" s="17">
        <v>4.8554018582622822</v>
      </c>
      <c r="Q17" s="17">
        <v>9.009007712257064E-4</v>
      </c>
      <c r="R17" s="17">
        <v>0.92399223502528893</v>
      </c>
      <c r="S17" s="17">
        <v>-1.8466625091399864</v>
      </c>
      <c r="T17" s="17">
        <v>559.75204088293515</v>
      </c>
      <c r="U17" s="17">
        <v>3.3160809731247927</v>
      </c>
      <c r="V17" s="17">
        <v>467.78636445236623</v>
      </c>
    </row>
    <row r="18" spans="2:22" x14ac:dyDescent="0.3">
      <c r="B18" s="17">
        <v>0.7</v>
      </c>
      <c r="C18" s="17">
        <v>3.1826444550567756</v>
      </c>
      <c r="D18" s="17">
        <v>1.0517772748712815</v>
      </c>
      <c r="E18" s="17">
        <v>6.4756703599588947</v>
      </c>
      <c r="F18" s="17">
        <v>11.722797219174215</v>
      </c>
      <c r="G18" s="17">
        <v>1.1049234750247561</v>
      </c>
      <c r="H18" s="17">
        <v>4.71920413147111</v>
      </c>
      <c r="I18" s="17">
        <v>9.1570271064838735</v>
      </c>
      <c r="J18" s="17">
        <v>87.728994646362665</v>
      </c>
      <c r="K18" s="17">
        <v>235.34645145481733</v>
      </c>
      <c r="L18" s="17">
        <v>101.79288253725483</v>
      </c>
      <c r="M18" s="17">
        <v>3.1159523417777462</v>
      </c>
      <c r="N18" s="17">
        <v>2.4688128090009003</v>
      </c>
      <c r="O18" s="17">
        <v>10.250323800790419</v>
      </c>
      <c r="P18" s="17">
        <v>4.8257715495631963</v>
      </c>
      <c r="Q18" s="17">
        <v>8.9818063269454654E-4</v>
      </c>
      <c r="R18" s="17">
        <v>0.91960136568056761</v>
      </c>
      <c r="S18" s="17">
        <v>-1.8495797963152276</v>
      </c>
      <c r="T18" s="17">
        <v>588.36612863704318</v>
      </c>
      <c r="U18" s="17">
        <v>3.3028065358073517</v>
      </c>
      <c r="V18" s="17">
        <v>485.31695944741341</v>
      </c>
    </row>
    <row r="19" spans="2:22" x14ac:dyDescent="0.3">
      <c r="B19" s="17">
        <v>0.75</v>
      </c>
      <c r="C19" s="17">
        <v>3.1796759917278905</v>
      </c>
      <c r="D19" s="17">
        <v>1.0557440776822804</v>
      </c>
      <c r="E19" s="17">
        <v>5.4039352110712793</v>
      </c>
      <c r="F19" s="17">
        <v>9.7940194828991078</v>
      </c>
      <c r="G19" s="17">
        <v>1.1015856640998944</v>
      </c>
      <c r="H19" s="17">
        <v>4.6641478209078198</v>
      </c>
      <c r="I19" s="17">
        <v>9.0595629791778052</v>
      </c>
      <c r="J19" s="17">
        <v>91.995574525781194</v>
      </c>
      <c r="K19" s="17">
        <v>246.79220480600199</v>
      </c>
      <c r="L19" s="17">
        <v>106.86721213527193</v>
      </c>
      <c r="M19" s="17">
        <v>3.1164382479094836</v>
      </c>
      <c r="N19" s="17">
        <v>2.4737200889304032</v>
      </c>
      <c r="O19" s="17">
        <v>10.194591485539634</v>
      </c>
      <c r="P19" s="17">
        <v>4.7962748915086886</v>
      </c>
      <c r="Q19" s="17">
        <v>8.9545624248824843E-4</v>
      </c>
      <c r="R19" s="17">
        <v>0.91521892164972585</v>
      </c>
      <c r="S19" s="17">
        <v>-1.8525093332924134</v>
      </c>
      <c r="T19" s="17">
        <v>616.98051201500505</v>
      </c>
      <c r="U19" s="17">
        <v>3.2895362100393175</v>
      </c>
      <c r="V19" s="17">
        <v>502.84782866314856</v>
      </c>
    </row>
    <row r="20" spans="2:22" x14ac:dyDescent="0.3">
      <c r="B20" s="17">
        <v>0.8</v>
      </c>
      <c r="C20" s="17">
        <v>3.1766972121346844</v>
      </c>
      <c r="D20" s="17">
        <v>1.0597218350240001</v>
      </c>
      <c r="E20" s="17">
        <v>4.3292067936635572</v>
      </c>
      <c r="F20" s="17">
        <v>7.8553814543741751</v>
      </c>
      <c r="G20" s="17">
        <v>1.0982430498994591</v>
      </c>
      <c r="H20" s="17">
        <v>4.6086931025683295</v>
      </c>
      <c r="I20" s="17">
        <v>8.9623384882152894</v>
      </c>
      <c r="J20" s="17">
        <v>96.262198605157224</v>
      </c>
      <c r="K20" s="17">
        <v>258.23807673033571</v>
      </c>
      <c r="L20" s="17">
        <v>111.95445016030466</v>
      </c>
      <c r="M20" s="17">
        <v>3.1169110362992152</v>
      </c>
      <c r="N20" s="17">
        <v>2.4786412959014443</v>
      </c>
      <c r="O20" s="17">
        <v>10.138945489990787</v>
      </c>
      <c r="P20" s="17">
        <v>4.7669109809012475</v>
      </c>
      <c r="Q20" s="17">
        <v>8.9272760389944321E-4</v>
      </c>
      <c r="R20" s="17">
        <v>0.91084489976972427</v>
      </c>
      <c r="S20" s="17">
        <v>-1.8554511571884387</v>
      </c>
      <c r="T20" s="17">
        <v>645.59519182583927</v>
      </c>
      <c r="U20" s="17">
        <v>3.2762700522924897</v>
      </c>
      <c r="V20" s="17">
        <v>520.37897275724754</v>
      </c>
    </row>
    <row r="21" spans="2:22" x14ac:dyDescent="0.3">
      <c r="B21" s="17">
        <v>0.85</v>
      </c>
      <c r="C21" s="17">
        <v>3.1737080391990968</v>
      </c>
      <c r="D21" s="17">
        <v>1.0637106287563038</v>
      </c>
      <c r="E21" s="17">
        <v>3.2514671250847167</v>
      </c>
      <c r="F21" s="17">
        <v>5.9067693275598581</v>
      </c>
      <c r="G21" s="17">
        <v>1.0948945809626529</v>
      </c>
      <c r="H21" s="17">
        <v>4.5528544882684363</v>
      </c>
      <c r="I21" s="17">
        <v>8.8653546420253981</v>
      </c>
      <c r="J21" s="17">
        <v>100.52887198471164</v>
      </c>
      <c r="K21" s="17">
        <v>269.68408090994143</v>
      </c>
      <c r="L21" s="17">
        <v>117.05472843049664</v>
      </c>
      <c r="M21" s="17">
        <v>3.1173705524792377</v>
      </c>
      <c r="N21" s="17">
        <v>2.4835764574245141</v>
      </c>
      <c r="O21" s="17">
        <v>10.083386332505116</v>
      </c>
      <c r="P21" s="17">
        <v>4.7376804527316398</v>
      </c>
      <c r="Q21" s="17">
        <v>8.8999471541966455E-4</v>
      </c>
      <c r="R21" s="17">
        <v>0.90647929000459382</v>
      </c>
      <c r="S21" s="17">
        <v>-1.8584053164823766</v>
      </c>
      <c r="T21" s="17">
        <v>674.21020227485337</v>
      </c>
      <c r="U21" s="17">
        <v>3.2630081004215148</v>
      </c>
      <c r="V21" s="17">
        <v>537.91042602080574</v>
      </c>
    </row>
    <row r="22" spans="2:22" x14ac:dyDescent="0.3">
      <c r="B22" s="17">
        <v>0.9</v>
      </c>
      <c r="C22" s="17">
        <v>3.1707084507537511</v>
      </c>
      <c r="D22" s="17">
        <v>1.0677104599818412</v>
      </c>
      <c r="E22" s="17">
        <v>2.1706980548234425</v>
      </c>
      <c r="F22" s="17">
        <v>3.9480789449175355</v>
      </c>
      <c r="G22" s="17">
        <v>1.091540809577048</v>
      </c>
      <c r="H22" s="17">
        <v>4.4966051596002652</v>
      </c>
      <c r="I22" s="17">
        <v>8.768612854060164</v>
      </c>
      <c r="J22" s="17">
        <v>104.79558407176074</v>
      </c>
      <c r="K22" s="17">
        <v>281.130188928324</v>
      </c>
      <c r="L22" s="17">
        <v>122.16816161023768</v>
      </c>
      <c r="M22" s="17">
        <v>3.117816669947155</v>
      </c>
      <c r="N22" s="17">
        <v>2.4885256009247194</v>
      </c>
      <c r="O22" s="17">
        <v>10.027914709061532</v>
      </c>
      <c r="P22" s="17">
        <v>4.708582436740417</v>
      </c>
      <c r="Q22" s="17">
        <v>8.8725759121543654E-4</v>
      </c>
      <c r="R22" s="17">
        <v>0.902122100229935</v>
      </c>
      <c r="S22" s="17">
        <v>-1.8613718236550516</v>
      </c>
      <c r="T22" s="17">
        <v>702.82547232081004</v>
      </c>
      <c r="U22" s="17">
        <v>3.2497504526612584</v>
      </c>
      <c r="V22" s="17">
        <v>555.4421167475374</v>
      </c>
    </row>
    <row r="28" spans="2:22" x14ac:dyDescent="0.3">
      <c r="B28" s="18" t="s">
        <v>77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0.6</v>
      </c>
      <c r="C29" s="17">
        <v>0.84771911035044722</v>
      </c>
      <c r="D29" s="17">
        <v>5.5682400216419365</v>
      </c>
      <c r="E29" s="17">
        <v>0.17958995950485709</v>
      </c>
      <c r="F29" s="17">
        <v>1.0912725075627298E-2</v>
      </c>
      <c r="G29" s="17">
        <v>0.64391845139513226</v>
      </c>
      <c r="H29" s="17">
        <v>15.228088964955266</v>
      </c>
      <c r="I29" s="17">
        <v>0.19083273687724442</v>
      </c>
      <c r="J29" s="17">
        <v>0.24494005524217421</v>
      </c>
      <c r="K29" s="17">
        <v>8.6858968078692311E-2</v>
      </c>
    </row>
    <row r="30" spans="2:22" x14ac:dyDescent="0.3">
      <c r="B30" s="17">
        <v>0.65</v>
      </c>
      <c r="C30" s="17">
        <v>0.83570282962165687</v>
      </c>
      <c r="D30" s="17">
        <v>5.0876752976440773</v>
      </c>
      <c r="E30" s="17">
        <v>0.19655342400940262</v>
      </c>
      <c r="F30" s="17">
        <v>1.0917832748512973E-2</v>
      </c>
      <c r="G30" s="17">
        <v>0.64419840294599606</v>
      </c>
      <c r="H30" s="17">
        <v>16.429717037834322</v>
      </c>
      <c r="I30" s="17">
        <v>0.17425836060946925</v>
      </c>
      <c r="J30" s="17">
        <v>0.23053244101116269</v>
      </c>
      <c r="K30" s="17">
        <v>7.860907429569669E-2</v>
      </c>
    </row>
    <row r="31" spans="2:22" x14ac:dyDescent="0.3">
      <c r="B31" s="17">
        <v>0.7</v>
      </c>
      <c r="C31" s="17">
        <v>0.82485536781604962</v>
      </c>
      <c r="D31" s="17">
        <v>4.7105080883442261</v>
      </c>
      <c r="E31" s="17">
        <v>0.21229132425744468</v>
      </c>
      <c r="F31" s="17">
        <v>1.0922427251248833E-2</v>
      </c>
      <c r="G31" s="17">
        <v>0.6444502276409485</v>
      </c>
      <c r="H31" s="17">
        <v>17.514463218395036</v>
      </c>
      <c r="I31" s="17">
        <v>0.16132366298600376</v>
      </c>
      <c r="J31" s="17">
        <v>0.21924753851545725</v>
      </c>
      <c r="K31" s="17">
        <v>7.2149608613530661E-2</v>
      </c>
    </row>
    <row r="32" spans="2:22" x14ac:dyDescent="0.3">
      <c r="B32" s="17">
        <v>0.75</v>
      </c>
      <c r="C32" s="17">
        <v>0.81501411936155166</v>
      </c>
      <c r="D32" s="17">
        <v>4.4066100014078859</v>
      </c>
      <c r="E32" s="17">
        <v>0.22693181372540477</v>
      </c>
      <c r="F32" s="17">
        <v>1.0926582439557082E-2</v>
      </c>
      <c r="G32" s="17">
        <v>0.64467797351212375</v>
      </c>
      <c r="H32" s="17">
        <v>18.498588063844835</v>
      </c>
      <c r="I32" s="17">
        <v>0.15102741645822146</v>
      </c>
      <c r="J32" s="17">
        <v>0.21030068848842684</v>
      </c>
      <c r="K32" s="17">
        <v>6.70308002978134E-2</v>
      </c>
    </row>
    <row r="33" spans="2:11" x14ac:dyDescent="0.3">
      <c r="B33" s="17">
        <v>0.8</v>
      </c>
      <c r="C33" s="17">
        <v>0.8060453041565232</v>
      </c>
      <c r="D33" s="17">
        <v>4.1565216339965589</v>
      </c>
      <c r="E33" s="17">
        <v>0.24058578014388554</v>
      </c>
      <c r="F33" s="17">
        <v>1.0930358656320624E-2</v>
      </c>
      <c r="G33" s="17">
        <v>0.64488494795293339</v>
      </c>
      <c r="H33" s="17">
        <v>19.39546958434768</v>
      </c>
      <c r="I33" s="17">
        <v>0.14280424748686651</v>
      </c>
      <c r="J33" s="17">
        <v>0.2033162158912975</v>
      </c>
      <c r="K33" s="17">
        <v>6.3037490439127375E-2</v>
      </c>
    </row>
    <row r="34" spans="2:11" x14ac:dyDescent="0.3">
      <c r="B34" s="17">
        <v>0.85</v>
      </c>
      <c r="C34" s="17">
        <v>0.79783786155392133</v>
      </c>
      <c r="D34" s="17">
        <v>3.947114317654743</v>
      </c>
      <c r="E34" s="17">
        <v>0.25334964217458239</v>
      </c>
      <c r="F34" s="17">
        <v>1.0933805686844236E-2</v>
      </c>
      <c r="G34" s="17">
        <v>0.64507387969593255</v>
      </c>
      <c r="H34" s="17">
        <v>20.216213844607868</v>
      </c>
      <c r="I34" s="17">
        <v>0.13658193790215301</v>
      </c>
      <c r="J34" s="17">
        <v>0.19856393313649451</v>
      </c>
      <c r="K34" s="17">
        <v>6.032514312375873E-2</v>
      </c>
    </row>
    <row r="35" spans="2:11" x14ac:dyDescent="0.3">
      <c r="B35" s="17">
        <v>0.9</v>
      </c>
      <c r="C35" s="17">
        <v>0.79029878486532934</v>
      </c>
      <c r="D35" s="17">
        <v>3.7692083967685592</v>
      </c>
      <c r="E35" s="17">
        <v>0.26530769719639968</v>
      </c>
      <c r="F35" s="17">
        <v>1.0936964974842374E-2</v>
      </c>
      <c r="G35" s="17">
        <v>0.64524704027111057</v>
      </c>
      <c r="H35" s="17">
        <v>20.970121513467056</v>
      </c>
      <c r="I35" s="17">
        <v>0.13498053449446543</v>
      </c>
      <c r="J35" s="17">
        <v>0.20078538147008768</v>
      </c>
      <c r="K35" s="17">
        <v>6.1618112153100937E-2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48A7-EAA7-4F28-BBF6-02D6EA60B99E}">
  <dimension ref="B2:V35"/>
  <sheetViews>
    <sheetView topLeftCell="A17" workbookViewId="0">
      <selection activeCell="B29" sqref="B29:K35"/>
    </sheetView>
  </sheetViews>
  <sheetFormatPr baseColWidth="10" defaultRowHeight="14.4" x14ac:dyDescent="0.3"/>
  <cols>
    <col min="1" max="16384" width="11.5546875" style="17"/>
  </cols>
  <sheetData>
    <row r="2" spans="2:22" x14ac:dyDescent="0.3">
      <c r="B2" s="18" t="s">
        <v>244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</row>
    <row r="3" spans="2:22" x14ac:dyDescent="0.3">
      <c r="B3" s="17">
        <v>0.6</v>
      </c>
      <c r="C3" s="17">
        <v>0.13086918068201137</v>
      </c>
      <c r="D3" s="17">
        <v>8.8141654444115064E-3</v>
      </c>
      <c r="E3" s="17">
        <v>49.878796554537026</v>
      </c>
      <c r="F3" s="17">
        <v>18.373195861739831</v>
      </c>
      <c r="G3" s="17">
        <v>48.55024975892259</v>
      </c>
      <c r="H3" s="17">
        <v>59.939503250288105</v>
      </c>
      <c r="I3" s="17">
        <v>58.915291415536807</v>
      </c>
      <c r="J3" s="17">
        <v>70.467849346491846</v>
      </c>
      <c r="K3" s="17">
        <v>0.15971887375195662</v>
      </c>
      <c r="L3" s="17">
        <v>1.4273569021599251</v>
      </c>
    </row>
    <row r="4" spans="2:22" x14ac:dyDescent="0.3">
      <c r="B4" s="17">
        <v>0.65</v>
      </c>
      <c r="C4" s="17">
        <v>0.13701888853317393</v>
      </c>
      <c r="D4" s="17">
        <v>8.5397213545798153E-3</v>
      </c>
      <c r="E4" s="17">
        <v>51.771991448655704</v>
      </c>
      <c r="F4" s="17">
        <v>19.112016134944927</v>
      </c>
      <c r="G4" s="17">
        <v>50.498588452935046</v>
      </c>
      <c r="H4" s="17">
        <v>60.017837430327823</v>
      </c>
      <c r="I4" s="17">
        <v>58.995465876775796</v>
      </c>
      <c r="J4" s="17">
        <v>70.733893942291786</v>
      </c>
      <c r="K4" s="17">
        <v>0.15495749590016775</v>
      </c>
      <c r="L4" s="17">
        <v>1.3848059788977394</v>
      </c>
    </row>
    <row r="5" spans="2:22" x14ac:dyDescent="0.3">
      <c r="B5" s="17">
        <v>0.7</v>
      </c>
      <c r="C5" s="17">
        <v>0.14230508065956135</v>
      </c>
      <c r="D5" s="17">
        <v>8.3060695450992046E-3</v>
      </c>
      <c r="E5" s="17">
        <v>53.3638629940382</v>
      </c>
      <c r="F5" s="17">
        <v>19.733270889997033</v>
      </c>
      <c r="G5" s="17">
        <v>52.13688786586652</v>
      </c>
      <c r="H5" s="17">
        <v>60.08613937444035</v>
      </c>
      <c r="I5" s="17">
        <v>59.065367664064738</v>
      </c>
      <c r="J5" s="17">
        <v>70.964246217707341</v>
      </c>
      <c r="K5" s="17">
        <v>0.15089733089748819</v>
      </c>
      <c r="L5" s="17">
        <v>1.3485215724005901</v>
      </c>
    </row>
    <row r="6" spans="2:22" x14ac:dyDescent="0.3">
      <c r="B6" s="17">
        <v>0.75</v>
      </c>
      <c r="C6" s="17">
        <v>0.14689827318466656</v>
      </c>
      <c r="D6" s="17">
        <v>8.1049138972325522E-3</v>
      </c>
      <c r="E6" s="17">
        <v>54.719894700628537</v>
      </c>
      <c r="F6" s="17">
        <v>20.26250383624782</v>
      </c>
      <c r="G6" s="17">
        <v>53.532512389537942</v>
      </c>
      <c r="H6" s="17">
        <v>60.146201421712384</v>
      </c>
      <c r="I6" s="17">
        <v>59.126833228739414</v>
      </c>
      <c r="J6" s="17">
        <v>71.165602215361275</v>
      </c>
      <c r="K6" s="17">
        <v>0.1473969837068114</v>
      </c>
      <c r="L6" s="17">
        <v>1.3172400800809798</v>
      </c>
    </row>
    <row r="7" spans="2:22" x14ac:dyDescent="0.3">
      <c r="B7" s="17">
        <v>0.8</v>
      </c>
      <c r="C7" s="17">
        <v>0.15092661980778518</v>
      </c>
      <c r="D7" s="17">
        <v>7.9300370676916587E-3</v>
      </c>
      <c r="E7" s="17">
        <v>55.888023789679387</v>
      </c>
      <c r="F7" s="17">
        <v>20.718416133758716</v>
      </c>
      <c r="G7" s="17">
        <v>54.734780717393491</v>
      </c>
      <c r="H7" s="17">
        <v>60.199415246228241</v>
      </c>
      <c r="I7" s="17">
        <v>59.18128830008709</v>
      </c>
      <c r="J7" s="17">
        <v>71.343096511252043</v>
      </c>
      <c r="K7" s="17">
        <v>0.14435020648564711</v>
      </c>
      <c r="L7" s="17">
        <v>1.2900119986788643</v>
      </c>
    </row>
    <row r="8" spans="2:22" x14ac:dyDescent="0.3">
      <c r="B8" s="17">
        <v>0.85</v>
      </c>
      <c r="C8" s="17">
        <v>0.15448837379671118</v>
      </c>
      <c r="D8" s="17">
        <v>7.7766933290369447E-3</v>
      </c>
      <c r="E8" s="17">
        <v>56.904129154565311</v>
      </c>
      <c r="F8" s="17">
        <v>21.115005816784862</v>
      </c>
      <c r="G8" s="17">
        <v>55.780608217314288</v>
      </c>
      <c r="H8" s="17">
        <v>60.246877622003723</v>
      </c>
      <c r="I8" s="17">
        <v>59.229856314830073</v>
      </c>
      <c r="J8" s="17">
        <v>71.500726935586954</v>
      </c>
      <c r="K8" s="17">
        <v>0.14167570990752862</v>
      </c>
      <c r="L8" s="17">
        <v>1.2661108712735394</v>
      </c>
    </row>
    <row r="9" spans="2:22" x14ac:dyDescent="0.3">
      <c r="B9" s="17">
        <v>0.9</v>
      </c>
      <c r="C9" s="17">
        <v>0.15766017207045593</v>
      </c>
      <c r="D9" s="17">
        <v>7.6412011923432457E-3</v>
      </c>
      <c r="E9" s="17">
        <v>57.795583221044957</v>
      </c>
      <c r="F9" s="17">
        <v>21.462952743531002</v>
      </c>
      <c r="G9" s="17">
        <v>56.698159463778808</v>
      </c>
      <c r="H9" s="17">
        <v>60.289464382137304</v>
      </c>
      <c r="I9" s="17">
        <v>59.273434254686372</v>
      </c>
      <c r="J9" s="17">
        <v>71.641649768227524</v>
      </c>
      <c r="K9" s="17">
        <v>0.13931030334092001</v>
      </c>
      <c r="L9" s="17">
        <v>1.2449719832388881</v>
      </c>
    </row>
    <row r="15" spans="2:22" x14ac:dyDescent="0.3">
      <c r="B15" s="18" t="s">
        <v>244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22" x14ac:dyDescent="0.3">
      <c r="B16" s="17">
        <v>0.6</v>
      </c>
      <c r="C16" s="17">
        <v>17.223530390651401</v>
      </c>
      <c r="D16" s="17">
        <v>5.1037799140514002</v>
      </c>
      <c r="E16" s="17">
        <v>1.5424567100955173</v>
      </c>
      <c r="F16" s="17">
        <v>2.8073738467151998</v>
      </c>
      <c r="G16" s="17">
        <v>1.2108751990759339</v>
      </c>
      <c r="H16" s="17">
        <v>1.1047199639898608</v>
      </c>
      <c r="I16" s="17">
        <v>9.283773488135834</v>
      </c>
      <c r="J16" s="17">
        <v>103.26946782608539</v>
      </c>
      <c r="K16" s="17">
        <v>277.03614858994956</v>
      </c>
      <c r="L16" s="17">
        <v>120.25045822234905</v>
      </c>
      <c r="M16" s="17">
        <v>5.0117925165671998E-2</v>
      </c>
      <c r="N16" s="17">
        <v>2.291782343488102E-2</v>
      </c>
      <c r="O16" s="17">
        <v>12.258929861073378</v>
      </c>
      <c r="P16" s="17">
        <v>5.9683119542030285</v>
      </c>
      <c r="Q16" s="17">
        <v>9.8477814386777594E-4</v>
      </c>
      <c r="R16" s="17">
        <v>1.0776192924360903</v>
      </c>
      <c r="S16" s="17">
        <v>3.5044989063272931</v>
      </c>
      <c r="T16" s="17">
        <v>692.59037147487402</v>
      </c>
      <c r="U16" s="17">
        <v>3.5995421709049547</v>
      </c>
      <c r="V16" s="17">
        <v>565.3155068627882</v>
      </c>
    </row>
    <row r="17" spans="2:22" x14ac:dyDescent="0.3">
      <c r="B17" s="17">
        <v>0.65</v>
      </c>
      <c r="C17" s="17">
        <v>13.889071706783179</v>
      </c>
      <c r="D17" s="17">
        <v>4.246121653805341</v>
      </c>
      <c r="E17" s="17">
        <v>1.5424567100955173</v>
      </c>
      <c r="F17" s="17">
        <v>2.8073738467151998</v>
      </c>
      <c r="G17" s="17">
        <v>1.1826470103258144</v>
      </c>
      <c r="H17" s="17">
        <v>1.7916358617457444</v>
      </c>
      <c r="I17" s="17">
        <v>9.1736007419972747</v>
      </c>
      <c r="J17" s="17">
        <v>104.16842351101462</v>
      </c>
      <c r="K17" s="17">
        <v>279.44773476298229</v>
      </c>
      <c r="L17" s="17">
        <v>121.34712487858563</v>
      </c>
      <c r="M17" s="17">
        <v>5.077422903846187E-2</v>
      </c>
      <c r="N17" s="17">
        <v>2.3373621735010557E-2</v>
      </c>
      <c r="O17" s="17">
        <v>11.70689884570481</v>
      </c>
      <c r="P17" s="17">
        <v>5.6409449889946401</v>
      </c>
      <c r="Q17" s="17">
        <v>9.6169692888734557E-4</v>
      </c>
      <c r="R17" s="17">
        <v>1.0337214813555018</v>
      </c>
      <c r="S17" s="17">
        <v>3.5424556315454323</v>
      </c>
      <c r="T17" s="17">
        <v>698.61933690745582</v>
      </c>
      <c r="U17" s="17">
        <v>3.48060805566681</v>
      </c>
      <c r="V17" s="17">
        <v>565.07592923502034</v>
      </c>
    </row>
    <row r="18" spans="2:22" x14ac:dyDescent="0.3">
      <c r="B18" s="17">
        <v>0.7</v>
      </c>
      <c r="C18" s="17">
        <v>11.038113043195452</v>
      </c>
      <c r="D18" s="17">
        <v>3.4658458866495603</v>
      </c>
      <c r="E18" s="17">
        <v>1.5424567100955173</v>
      </c>
      <c r="F18" s="17">
        <v>2.8073738467151998</v>
      </c>
      <c r="G18" s="17">
        <v>1.1582224463140447</v>
      </c>
      <c r="H18" s="17">
        <v>2.4307471421233493</v>
      </c>
      <c r="I18" s="17">
        <v>9.0667993777505469</v>
      </c>
      <c r="J18" s="17">
        <v>104.95996261811557</v>
      </c>
      <c r="K18" s="17">
        <v>281.5711595302995</v>
      </c>
      <c r="L18" s="17">
        <v>122.31369926104054</v>
      </c>
      <c r="M18" s="17">
        <v>5.134475467344897E-2</v>
      </c>
      <c r="N18" s="17">
        <v>2.377184156378501E-2</v>
      </c>
      <c r="O18" s="17">
        <v>11.242094633094244</v>
      </c>
      <c r="P18" s="17">
        <v>5.3734938759397997</v>
      </c>
      <c r="Q18" s="17">
        <v>9.4173270359819037E-4</v>
      </c>
      <c r="R18" s="17">
        <v>0.99701597907764994</v>
      </c>
      <c r="S18" s="17">
        <v>3.5747344392650797</v>
      </c>
      <c r="T18" s="17">
        <v>703.92789882574857</v>
      </c>
      <c r="U18" s="17">
        <v>3.379562304940662</v>
      </c>
      <c r="V18" s="17">
        <v>564.99733942355761</v>
      </c>
    </row>
    <row r="19" spans="2:22" x14ac:dyDescent="0.3">
      <c r="B19" s="17">
        <v>0.75</v>
      </c>
      <c r="C19" s="17">
        <v>8.5735098078966985</v>
      </c>
      <c r="D19" s="17">
        <v>2.7546230259247095</v>
      </c>
      <c r="E19" s="17">
        <v>1.5424567100955173</v>
      </c>
      <c r="F19" s="17">
        <v>2.8073738467151998</v>
      </c>
      <c r="G19" s="17">
        <v>1.1369071821082999</v>
      </c>
      <c r="H19" s="17">
        <v>3.0237047411040985</v>
      </c>
      <c r="I19" s="17">
        <v>8.9651619450555877</v>
      </c>
      <c r="J19" s="17">
        <v>105.66276220008064</v>
      </c>
      <c r="K19" s="17">
        <v>283.45652694350355</v>
      </c>
      <c r="L19" s="17">
        <v>123.1726580633815</v>
      </c>
      <c r="M19" s="17">
        <v>5.1845176613273189E-2</v>
      </c>
      <c r="N19" s="17">
        <v>2.4122638880794574E-2</v>
      </c>
      <c r="O19" s="17">
        <v>10.845814830466487</v>
      </c>
      <c r="P19" s="17">
        <v>5.1512288603062899</v>
      </c>
      <c r="Q19" s="17">
        <v>9.2431500080570217E-4</v>
      </c>
      <c r="R19" s="17">
        <v>0.96589147864161762</v>
      </c>
      <c r="S19" s="17">
        <v>3.6025669776936748</v>
      </c>
      <c r="T19" s="17">
        <v>708.64131735875878</v>
      </c>
      <c r="U19" s="17">
        <v>3.2927275709515644</v>
      </c>
      <c r="V19" s="17">
        <v>565.03080631442015</v>
      </c>
    </row>
    <row r="20" spans="2:22" x14ac:dyDescent="0.3">
      <c r="B20" s="17">
        <v>0.8</v>
      </c>
      <c r="C20" s="17">
        <v>6.4222094453439347</v>
      </c>
      <c r="D20" s="17">
        <v>2.104979688397314</v>
      </c>
      <c r="E20" s="17">
        <v>1.5424567100955173</v>
      </c>
      <c r="F20" s="17">
        <v>2.8073738467151998</v>
      </c>
      <c r="G20" s="17">
        <v>1.1181613002894637</v>
      </c>
      <c r="H20" s="17">
        <v>3.5733140356715887</v>
      </c>
      <c r="I20" s="17">
        <v>8.8694633253153885</v>
      </c>
      <c r="J20" s="17">
        <v>106.29127448128449</v>
      </c>
      <c r="K20" s="17">
        <v>285.14260730579838</v>
      </c>
      <c r="L20" s="17">
        <v>123.94142024869507</v>
      </c>
      <c r="M20" s="17">
        <v>5.2287609979356685E-2</v>
      </c>
      <c r="N20" s="17">
        <v>2.4433948167301087E-2</v>
      </c>
      <c r="O20" s="17">
        <v>10.504258527002829</v>
      </c>
      <c r="P20" s="17">
        <v>4.9638129009404244</v>
      </c>
      <c r="Q20" s="17">
        <v>9.0900061105456586E-4</v>
      </c>
      <c r="R20" s="17">
        <v>0.93918089232948121</v>
      </c>
      <c r="S20" s="17">
        <v>3.6268565995228084</v>
      </c>
      <c r="T20" s="17">
        <v>712.85651826449589</v>
      </c>
      <c r="U20" s="17">
        <v>3.2173570937397304</v>
      </c>
      <c r="V20" s="17">
        <v>565.14235695989919</v>
      </c>
    </row>
    <row r="21" spans="2:22" x14ac:dyDescent="0.3">
      <c r="B21" s="17">
        <v>0.85</v>
      </c>
      <c r="C21" s="17">
        <v>4.528303001585213</v>
      </c>
      <c r="D21" s="17">
        <v>1.5102579346330967</v>
      </c>
      <c r="E21" s="17">
        <v>1.5424567100955173</v>
      </c>
      <c r="F21" s="17">
        <v>2.8073738467151998</v>
      </c>
      <c r="G21" s="17">
        <v>1.1015597781977049</v>
      </c>
      <c r="H21" s="17">
        <v>4.0828254225992717</v>
      </c>
      <c r="I21" s="17">
        <v>8.7799064915337652</v>
      </c>
      <c r="J21" s="17">
        <v>106.85689298365322</v>
      </c>
      <c r="K21" s="17">
        <v>286.65996548306083</v>
      </c>
      <c r="L21" s="17">
        <v>124.63373733801447</v>
      </c>
      <c r="M21" s="17">
        <v>5.2681552572014054E-2</v>
      </c>
      <c r="N21" s="17">
        <v>2.4712046856216502E-2</v>
      </c>
      <c r="O21" s="17">
        <v>10.207040222168093</v>
      </c>
      <c r="P21" s="17">
        <v>4.803795582538716</v>
      </c>
      <c r="Q21" s="17">
        <v>8.9544089482254826E-4</v>
      </c>
      <c r="R21" s="17">
        <v>0.91601886380869246</v>
      </c>
      <c r="S21" s="17">
        <v>3.648278080330789</v>
      </c>
      <c r="T21" s="17">
        <v>716.64991370765188</v>
      </c>
      <c r="U21" s="17">
        <v>3.1513604057888163</v>
      </c>
      <c r="V21" s="17">
        <v>565.30806118504643</v>
      </c>
    </row>
    <row r="22" spans="2:22" x14ac:dyDescent="0.3">
      <c r="B22" s="17">
        <v>0.9</v>
      </c>
      <c r="C22" s="17">
        <v>2.8483263976414599</v>
      </c>
      <c r="D22" s="17">
        <v>0.96455767849983387</v>
      </c>
      <c r="E22" s="17">
        <v>1.5424567100955173</v>
      </c>
      <c r="F22" s="17">
        <v>2.8073738467151998</v>
      </c>
      <c r="G22" s="17">
        <v>1.0867646432466844</v>
      </c>
      <c r="H22" s="17">
        <v>4.5555618020140098</v>
      </c>
      <c r="I22" s="17">
        <v>8.6963788936835122</v>
      </c>
      <c r="J22" s="17">
        <v>107.36874274104464</v>
      </c>
      <c r="K22" s="17">
        <v>288.03308077482569</v>
      </c>
      <c r="L22" s="17">
        <v>125.26063692308392</v>
      </c>
      <c r="M22" s="17">
        <v>5.3034547836876195E-2</v>
      </c>
      <c r="N22" s="17">
        <v>2.4961960101606045E-2</v>
      </c>
      <c r="O22" s="17">
        <v>9.9462077370741646</v>
      </c>
      <c r="P22" s="17">
        <v>4.6656811406944776</v>
      </c>
      <c r="Q22" s="17">
        <v>8.8335841987004747E-4</v>
      </c>
      <c r="R22" s="17">
        <v>0.89575064737944088</v>
      </c>
      <c r="S22" s="17">
        <v>3.6673441327121901</v>
      </c>
      <c r="T22" s="17">
        <v>720.08270193706414</v>
      </c>
      <c r="U22" s="17">
        <v>3.0931200591283474</v>
      </c>
      <c r="V22" s="17">
        <v>565.51086399419739</v>
      </c>
    </row>
    <row r="28" spans="2:22" x14ac:dyDescent="0.3">
      <c r="B28" s="18" t="s">
        <v>244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2" x14ac:dyDescent="0.3">
      <c r="B29" s="17">
        <v>0.6</v>
      </c>
      <c r="C29" s="17">
        <v>0.8162335633672565</v>
      </c>
      <c r="D29" s="17">
        <v>4.4425236061787903</v>
      </c>
      <c r="E29" s="17">
        <v>0.22509728448244395</v>
      </c>
      <c r="F29" s="17">
        <v>1.0904188357996744E-2</v>
      </c>
      <c r="G29" s="17">
        <v>0.6434505539018015</v>
      </c>
      <c r="H29" s="17">
        <v>18.376643663274361</v>
      </c>
      <c r="I29" s="17">
        <v>0.41341597674628905</v>
      </c>
      <c r="J29" s="17">
        <v>0.63345210941471208</v>
      </c>
      <c r="K29" s="17">
        <v>0.31969789321370906</v>
      </c>
    </row>
    <row r="30" spans="2:22" x14ac:dyDescent="0.3">
      <c r="B30" s="17">
        <v>0.65</v>
      </c>
      <c r="C30" s="17">
        <v>0.80884667712808289</v>
      </c>
      <c r="D30" s="17">
        <v>4.2321368474002377</v>
      </c>
      <c r="E30" s="17">
        <v>0.23628725536469614</v>
      </c>
      <c r="F30" s="17">
        <v>1.0918648791163528E-2</v>
      </c>
      <c r="G30" s="17">
        <v>0.64424313024367297</v>
      </c>
      <c r="H30" s="17">
        <v>19.115332287191698</v>
      </c>
      <c r="I30" s="17">
        <v>0.39444410274120173</v>
      </c>
      <c r="J30" s="17">
        <v>0.60791796695278866</v>
      </c>
      <c r="K30" s="17">
        <v>0.30513582323874583</v>
      </c>
    </row>
    <row r="31" spans="2:22" x14ac:dyDescent="0.3">
      <c r="B31" s="17">
        <v>0.7</v>
      </c>
      <c r="C31" s="17">
        <v>0.80263524199858138</v>
      </c>
      <c r="D31" s="17">
        <v>4.067421191716595</v>
      </c>
      <c r="E31" s="17">
        <v>0.24585602347662569</v>
      </c>
      <c r="F31" s="17">
        <v>1.0931188260214096E-2</v>
      </c>
      <c r="G31" s="17">
        <v>0.64493041854233468</v>
      </c>
      <c r="H31" s="17">
        <v>19.736475800141861</v>
      </c>
      <c r="I31" s="17">
        <v>0.37952324743581139</v>
      </c>
      <c r="J31" s="17">
        <v>0.58777374945280458</v>
      </c>
      <c r="K31" s="17">
        <v>0.29365788683812383</v>
      </c>
    </row>
    <row r="32" spans="2:22" x14ac:dyDescent="0.3">
      <c r="B32" s="17">
        <v>0.75</v>
      </c>
      <c r="C32" s="17">
        <v>0.79734386419973036</v>
      </c>
      <c r="D32" s="17">
        <v>3.9350707624462138</v>
      </c>
      <c r="E32" s="17">
        <v>0.25412503621112925</v>
      </c>
      <c r="F32" s="17">
        <v>1.0944766551039004E-2</v>
      </c>
      <c r="G32" s="17">
        <v>0.64567464466244784</v>
      </c>
      <c r="H32" s="17">
        <v>20.265613580026965</v>
      </c>
      <c r="I32" s="17">
        <v>0.36787790493733269</v>
      </c>
      <c r="J32" s="17">
        <v>0.57211390257334793</v>
      </c>
      <c r="K32" s="17">
        <v>0.28475653286847541</v>
      </c>
    </row>
    <row r="33" spans="2:11" x14ac:dyDescent="0.3">
      <c r="B33" s="17">
        <v>0.8</v>
      </c>
      <c r="C33" s="17">
        <v>0.79278556410732104</v>
      </c>
      <c r="D33" s="17">
        <v>3.82647765634725</v>
      </c>
      <c r="E33" s="17">
        <v>0.2613369500122989</v>
      </c>
      <c r="F33" s="17">
        <v>1.0953771658947358E-2</v>
      </c>
      <c r="G33" s="17">
        <v>0.64616821462690466</v>
      </c>
      <c r="H33" s="17">
        <v>20.721443589267896</v>
      </c>
      <c r="I33" s="17">
        <v>0.35781457444009379</v>
      </c>
      <c r="J33" s="17">
        <v>0.55836368955805793</v>
      </c>
      <c r="K33" s="17">
        <v>0.27692740932168425</v>
      </c>
    </row>
    <row r="34" spans="2:11" x14ac:dyDescent="0.3">
      <c r="B34" s="17">
        <v>0.85</v>
      </c>
      <c r="C34" s="17">
        <v>0.78882038547995503</v>
      </c>
      <c r="D34" s="17">
        <v>3.7358284071743015</v>
      </c>
      <c r="E34" s="17">
        <v>0.26767824723415978</v>
      </c>
      <c r="F34" s="17">
        <v>1.0963939440872789E-2</v>
      </c>
      <c r="G34" s="17">
        <v>0.64672551075423756</v>
      </c>
      <c r="H34" s="17">
        <v>21.117961452004497</v>
      </c>
      <c r="I34" s="17">
        <v>0.3499049978620189</v>
      </c>
      <c r="J34" s="17">
        <v>0.54760892323226329</v>
      </c>
      <c r="K34" s="17">
        <v>0.27082626625832856</v>
      </c>
    </row>
    <row r="35" spans="2:11" x14ac:dyDescent="0.3">
      <c r="B35" s="17">
        <v>0.9</v>
      </c>
      <c r="C35" s="17">
        <v>0.7853415482318078</v>
      </c>
      <c r="D35" s="17">
        <v>3.6590564104396681</v>
      </c>
      <c r="E35" s="17">
        <v>0.27329450214183526</v>
      </c>
      <c r="F35" s="17">
        <v>1.0972466052867792E-2</v>
      </c>
      <c r="G35" s="17">
        <v>0.6471928543576837</v>
      </c>
      <c r="H35" s="17">
        <v>21.465845176819208</v>
      </c>
      <c r="I35" s="17">
        <v>0.34514380975417347</v>
      </c>
      <c r="J35" s="17">
        <v>0.54174875250287391</v>
      </c>
      <c r="K35" s="17">
        <v>0.26759067296811734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opLeftCell="K1" zoomScale="86" zoomScaleNormal="55" workbookViewId="0">
      <selection activeCell="T25" sqref="T25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31" t="s">
        <v>56</v>
      </c>
      <c r="L2" s="31"/>
      <c r="N2" s="31" t="s">
        <v>65</v>
      </c>
      <c r="O2" s="31"/>
      <c r="Q2" s="31" t="s">
        <v>116</v>
      </c>
      <c r="R2" s="31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1018.1871360117831</v>
      </c>
      <c r="D4" s="5">
        <v>17.482517482517483</v>
      </c>
      <c r="E4" s="4">
        <v>1281.3081492359206</v>
      </c>
      <c r="F4" s="7">
        <v>3.0357375517463359</v>
      </c>
      <c r="G4" s="4">
        <v>1</v>
      </c>
      <c r="H4" s="4">
        <v>686.34112082706883</v>
      </c>
      <c r="I4" s="4">
        <f t="shared" ref="I4:I42" si="0">C4-273.15</f>
        <v>745.0371360117831</v>
      </c>
      <c r="K4" s="9" t="s">
        <v>42</v>
      </c>
      <c r="L4" s="7">
        <v>0.1796736963027683</v>
      </c>
      <c r="N4" s="9" t="s">
        <v>66</v>
      </c>
      <c r="O4" s="10">
        <v>68.729982427742101</v>
      </c>
      <c r="Q4" s="13" t="s">
        <v>98</v>
      </c>
      <c r="R4" s="6">
        <v>320.86966102699427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</v>
      </c>
      <c r="H5" s="4">
        <v>736.50270198870771</v>
      </c>
      <c r="I5" s="4">
        <f t="shared" si="0"/>
        <v>800.00000000000011</v>
      </c>
      <c r="K5" s="9" t="s">
        <v>43</v>
      </c>
      <c r="L5" s="7">
        <v>7.0174170080653853E-2</v>
      </c>
      <c r="N5" s="9" t="s">
        <v>67</v>
      </c>
      <c r="O5" s="10">
        <v>119.78456764170598</v>
      </c>
      <c r="Q5" s="13" t="s">
        <v>99</v>
      </c>
      <c r="R5" s="6">
        <v>272.89851509775946</v>
      </c>
    </row>
    <row r="6" spans="2:18" x14ac:dyDescent="0.3">
      <c r="B6" s="3">
        <v>4</v>
      </c>
      <c r="C6" s="4">
        <v>976.21764828798996</v>
      </c>
      <c r="D6" s="5">
        <v>9.1240875912408761</v>
      </c>
      <c r="E6" s="4">
        <v>1231.6977516748684</v>
      </c>
      <c r="F6" s="7">
        <v>3.112273260172465</v>
      </c>
      <c r="G6" s="4">
        <v>1</v>
      </c>
      <c r="H6" s="4">
        <v>613.91160179876624</v>
      </c>
      <c r="I6" s="4">
        <f t="shared" si="0"/>
        <v>703.06764828798998</v>
      </c>
      <c r="K6" s="13" t="s">
        <v>47</v>
      </c>
      <c r="L6" s="7">
        <v>0.24984786638342216</v>
      </c>
      <c r="N6" s="9" t="s">
        <v>68</v>
      </c>
      <c r="O6" s="10">
        <v>7.1779640670783724</v>
      </c>
      <c r="Q6" s="13" t="s">
        <v>100</v>
      </c>
      <c r="R6" s="6">
        <v>1611.6243014074614</v>
      </c>
    </row>
    <row r="7" spans="2:18" x14ac:dyDescent="0.3">
      <c r="B7" s="3">
        <v>5</v>
      </c>
      <c r="C7" s="4">
        <v>580.60739984606084</v>
      </c>
      <c r="D7" s="5">
        <v>9.1240875912408761</v>
      </c>
      <c r="E7" s="4">
        <v>758.77316593152807</v>
      </c>
      <c r="F7" s="7">
        <v>2.493493145865219</v>
      </c>
      <c r="G7" s="4">
        <v>1</v>
      </c>
      <c r="H7" s="4">
        <v>325.47630713613137</v>
      </c>
      <c r="I7" s="4">
        <f t="shared" si="0"/>
        <v>307.45739984606087</v>
      </c>
      <c r="K7" s="9" t="s">
        <v>44</v>
      </c>
      <c r="L7" s="7">
        <v>0.4850508570994323</v>
      </c>
      <c r="N7" s="9" t="s">
        <v>69</v>
      </c>
      <c r="O7" s="10">
        <v>-38.640801901504481</v>
      </c>
      <c r="Q7" s="13" t="s">
        <v>105</v>
      </c>
      <c r="R7" s="6">
        <v>844.32347801502237</v>
      </c>
    </row>
    <row r="8" spans="2:18" x14ac:dyDescent="0.3">
      <c r="B8" s="3">
        <v>6</v>
      </c>
      <c r="C8" s="4">
        <v>435.4382571755965</v>
      </c>
      <c r="D8" s="5">
        <v>9.1240875912408761</v>
      </c>
      <c r="E8" s="4">
        <v>591.20237940579909</v>
      </c>
      <c r="F8" s="7">
        <v>2.1610567826542426</v>
      </c>
      <c r="G8" s="4">
        <v>1</v>
      </c>
      <c r="H8" s="4">
        <v>257.02142230175508</v>
      </c>
      <c r="I8" s="4">
        <f t="shared" si="0"/>
        <v>162.28825717559653</v>
      </c>
      <c r="K8" s="9" t="s">
        <v>45</v>
      </c>
      <c r="L8" s="7">
        <v>0.16757078652572899</v>
      </c>
      <c r="N8" s="9" t="s">
        <v>70</v>
      </c>
      <c r="O8" s="10">
        <v>-18.872729900081151</v>
      </c>
      <c r="Q8" s="13" t="s">
        <v>104</v>
      </c>
      <c r="R8" s="6">
        <v>191.51030050030806</v>
      </c>
    </row>
    <row r="9" spans="2:18" x14ac:dyDescent="0.3">
      <c r="B9" s="3" t="s">
        <v>29</v>
      </c>
      <c r="C9" s="4">
        <v>435.4382571755965</v>
      </c>
      <c r="D9" s="5">
        <v>9.1240875912408761</v>
      </c>
      <c r="E9" s="4">
        <v>591.20237940579909</v>
      </c>
      <c r="F9" s="7">
        <v>2.1610567826542426</v>
      </c>
      <c r="G9" s="4">
        <v>0.79946350834994295</v>
      </c>
      <c r="H9" s="4">
        <v>257.02142230175508</v>
      </c>
      <c r="I9" s="4">
        <f t="shared" si="0"/>
        <v>162.28825717559653</v>
      </c>
      <c r="K9" s="9" t="s">
        <v>48</v>
      </c>
      <c r="L9" s="7">
        <v>1.103370874887479E-2</v>
      </c>
      <c r="N9" s="9" t="s">
        <v>71</v>
      </c>
      <c r="O9" s="10">
        <v>-5.87834077994729E-3</v>
      </c>
      <c r="Q9" s="13" t="s">
        <v>101</v>
      </c>
      <c r="R9" s="6">
        <v>106.29532049093429</v>
      </c>
    </row>
    <row r="10" spans="2:18" x14ac:dyDescent="0.3">
      <c r="B10" s="3" t="s">
        <v>30</v>
      </c>
      <c r="C10" s="4">
        <v>423.35913575479753</v>
      </c>
      <c r="D10" s="5">
        <v>9.1240875912408761</v>
      </c>
      <c r="E10" s="4">
        <v>0.57660060448894723</v>
      </c>
      <c r="F10" s="7">
        <v>2.1270479527453361E-3</v>
      </c>
      <c r="G10" s="4">
        <v>0.79946350834994295</v>
      </c>
      <c r="H10" s="4">
        <v>0.25257320939780875</v>
      </c>
      <c r="I10" s="4">
        <f t="shared" si="0"/>
        <v>150.20913575479756</v>
      </c>
      <c r="K10" s="9" t="s">
        <v>49</v>
      </c>
      <c r="L10" s="7">
        <v>6.8670753276560997E-2</v>
      </c>
      <c r="N10" s="9" t="s">
        <v>72</v>
      </c>
      <c r="O10" s="10">
        <v>131.00101826786243</v>
      </c>
      <c r="Q10" s="13" t="s">
        <v>102</v>
      </c>
      <c r="R10" s="6">
        <v>5561.582067065191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0.79946350834994295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1.2546499075118688E-2</v>
      </c>
      <c r="N11" s="9" t="s">
        <v>73</v>
      </c>
      <c r="O11" s="10">
        <v>7.1720857262984259</v>
      </c>
      <c r="Q11" s="13" t="s">
        <v>103</v>
      </c>
      <c r="R11" s="6">
        <v>9692.8833643694998</v>
      </c>
    </row>
    <row r="12" spans="2:18" x14ac:dyDescent="0.3">
      <c r="B12" s="3" t="s">
        <v>32</v>
      </c>
      <c r="C12" s="4">
        <v>346.62379557580101</v>
      </c>
      <c r="D12" s="5">
        <v>9.1240875912408761</v>
      </c>
      <c r="E12" s="4">
        <v>0.46883049635692192</v>
      </c>
      <c r="F12" s="7">
        <v>1.8443861945514714E-3</v>
      </c>
      <c r="G12" s="4">
        <v>0.79946350834994295</v>
      </c>
      <c r="H12" s="4">
        <v>0.22907870447128417</v>
      </c>
      <c r="I12" s="4">
        <f t="shared" si="0"/>
        <v>73.473795575801034</v>
      </c>
      <c r="K12" s="9" t="s">
        <v>51</v>
      </c>
      <c r="L12" s="7">
        <v>9.2250961100554474E-2</v>
      </c>
      <c r="N12" s="11" t="s">
        <v>74</v>
      </c>
      <c r="O12" s="12">
        <v>138.17310399416087</v>
      </c>
      <c r="Q12" s="13" t="s">
        <v>106</v>
      </c>
      <c r="R12" s="6">
        <v>580.83582773313503</v>
      </c>
    </row>
    <row r="13" spans="2:18" x14ac:dyDescent="0.3">
      <c r="B13" s="3" t="s">
        <v>33</v>
      </c>
      <c r="C13" s="4">
        <v>332.0521666331224</v>
      </c>
      <c r="D13" s="5">
        <v>9.1240875912408761</v>
      </c>
      <c r="E13" s="4">
        <v>437.98889389020491</v>
      </c>
      <c r="F13" s="7">
        <v>1.7533810774862726</v>
      </c>
      <c r="G13" s="4">
        <v>0.79946350834994295</v>
      </c>
      <c r="H13" s="4">
        <v>225.37027765755619</v>
      </c>
      <c r="I13" s="4">
        <f t="shared" si="0"/>
        <v>58.90216663312242</v>
      </c>
      <c r="K13" s="9" t="s">
        <v>52</v>
      </c>
      <c r="L13" s="7">
        <v>7.2309456578341938E-2</v>
      </c>
      <c r="Q13" s="13" t="s">
        <v>107</v>
      </c>
      <c r="R13" s="6">
        <v>1402.2785650857879</v>
      </c>
    </row>
    <row r="14" spans="2:18" x14ac:dyDescent="0.3">
      <c r="B14" s="3" t="s">
        <v>34</v>
      </c>
      <c r="C14" s="4">
        <v>435.4382571755965</v>
      </c>
      <c r="D14" s="5">
        <v>9.1240875912408761</v>
      </c>
      <c r="E14" s="4">
        <v>591.20237940579909</v>
      </c>
      <c r="F14" s="7">
        <v>2.1610567826542426</v>
      </c>
      <c r="G14" s="4">
        <v>0.20053649165005705</v>
      </c>
      <c r="H14" s="4">
        <v>257.02142230175508</v>
      </c>
      <c r="I14" s="4">
        <f t="shared" si="0"/>
        <v>162.28825717559653</v>
      </c>
      <c r="K14" s="9" t="s">
        <v>54</v>
      </c>
      <c r="L14" s="7">
        <v>1.2769418795914119E-2</v>
      </c>
      <c r="N14" s="32" t="s">
        <v>75</v>
      </c>
      <c r="O14" s="32"/>
      <c r="Q14" s="13" t="s">
        <v>108</v>
      </c>
      <c r="R14" s="6">
        <v>684.89325534693512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0.79946350834994295</v>
      </c>
      <c r="H15" s="4">
        <v>224.33075530171814</v>
      </c>
      <c r="I15" s="4">
        <f t="shared" si="0"/>
        <v>55</v>
      </c>
      <c r="K15" s="9" t="s">
        <v>53</v>
      </c>
      <c r="L15" s="7">
        <v>8.5078875374256055E-2</v>
      </c>
      <c r="N15" s="9" t="s">
        <v>80</v>
      </c>
      <c r="O15" s="10">
        <v>7.7745376749850656</v>
      </c>
      <c r="Q15" s="13" t="s">
        <v>109</v>
      </c>
      <c r="R15" s="6">
        <v>0.21332557473836516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0.79946350834994295</v>
      </c>
      <c r="H16" s="4">
        <v>268.76481394998945</v>
      </c>
      <c r="I16" s="4">
        <f t="shared" si="0"/>
        <v>134.77598052767183</v>
      </c>
      <c r="K16" s="9" t="s">
        <v>46</v>
      </c>
      <c r="L16" s="7">
        <v>2.4656735711175819E-2</v>
      </c>
      <c r="N16" s="9" t="s">
        <v>81</v>
      </c>
      <c r="O16" s="10">
        <v>52.432314177470431</v>
      </c>
      <c r="Q16" s="13" t="s">
        <v>110</v>
      </c>
      <c r="R16" s="6">
        <v>1455.4018193176985</v>
      </c>
    </row>
    <row r="17" spans="2:25" x14ac:dyDescent="0.3">
      <c r="B17" s="3">
        <v>9</v>
      </c>
      <c r="C17" s="4">
        <v>547.69370647629023</v>
      </c>
      <c r="D17" s="5">
        <v>25</v>
      </c>
      <c r="E17" s="4">
        <v>685.31357954095802</v>
      </c>
      <c r="F17" s="7">
        <v>2.180095650521598</v>
      </c>
      <c r="G17" s="4">
        <v>0.79946350834994295</v>
      </c>
      <c r="H17" s="4">
        <v>345.4561839822619</v>
      </c>
      <c r="I17" s="4">
        <f t="shared" si="0"/>
        <v>274.54370647629025</v>
      </c>
      <c r="K17" s="11" t="s">
        <v>55</v>
      </c>
      <c r="L17" s="16">
        <v>-8.4845275348931753E-3</v>
      </c>
      <c r="N17" s="9" t="s">
        <v>82</v>
      </c>
      <c r="O17" s="10">
        <v>60.037026235722536</v>
      </c>
      <c r="Q17" s="13" t="s">
        <v>111</v>
      </c>
      <c r="R17" s="6">
        <v>1185.5793514604527</v>
      </c>
    </row>
    <row r="18" spans="2:25" x14ac:dyDescent="0.3">
      <c r="B18" s="3">
        <v>10</v>
      </c>
      <c r="C18" s="4">
        <v>547.69370647629023</v>
      </c>
      <c r="D18" s="5">
        <v>25</v>
      </c>
      <c r="E18" s="4">
        <v>685.31357954095802</v>
      </c>
      <c r="F18" s="7">
        <v>2.180095650521598</v>
      </c>
      <c r="G18" s="4">
        <v>0.20053649165005705</v>
      </c>
      <c r="H18" s="4">
        <v>345.4561839822619</v>
      </c>
      <c r="I18" s="4">
        <f t="shared" si="0"/>
        <v>274.54370647629025</v>
      </c>
      <c r="N18" s="9" t="s">
        <v>83</v>
      </c>
      <c r="O18" s="10">
        <v>54.166395266817204</v>
      </c>
      <c r="Q18" s="13" t="s">
        <v>112</v>
      </c>
      <c r="R18" s="6">
        <v>204302.32267645153</v>
      </c>
      <c r="V18" s="6">
        <f>R23-R9-R6</f>
        <v>215456.48269446561</v>
      </c>
    </row>
    <row r="19" spans="2:25" x14ac:dyDescent="0.3">
      <c r="B19" s="3">
        <v>11</v>
      </c>
      <c r="C19" s="4">
        <v>547.69370647629023</v>
      </c>
      <c r="D19" s="5">
        <v>25</v>
      </c>
      <c r="E19" s="4">
        <v>685.31357954095802</v>
      </c>
      <c r="F19" s="7">
        <v>2.180095650521598</v>
      </c>
      <c r="G19" s="4">
        <v>1</v>
      </c>
      <c r="H19" s="4">
        <v>345.4561839822619</v>
      </c>
      <c r="I19" s="4">
        <f t="shared" si="0"/>
        <v>274.54370647629025</v>
      </c>
      <c r="K19" s="32" t="s">
        <v>58</v>
      </c>
      <c r="L19" s="32"/>
      <c r="N19" s="9" t="s">
        <v>84</v>
      </c>
      <c r="O19" s="10">
        <v>55.302895315550657</v>
      </c>
      <c r="Q19" s="13" t="s">
        <v>123</v>
      </c>
      <c r="R19" s="6">
        <v>245404.71435306963</v>
      </c>
    </row>
    <row r="20" spans="2:25" x14ac:dyDescent="0.3">
      <c r="B20" s="3">
        <v>12</v>
      </c>
      <c r="C20" s="4">
        <v>932.93660164805499</v>
      </c>
      <c r="D20" s="5">
        <v>25</v>
      </c>
      <c r="E20" s="4">
        <v>1170.3644353608943</v>
      </c>
      <c r="F20" s="7">
        <v>2.8511829889834948</v>
      </c>
      <c r="G20" s="4">
        <v>1</v>
      </c>
      <c r="H20" s="4">
        <v>630.42234983978369</v>
      </c>
      <c r="I20" s="4">
        <f t="shared" si="0"/>
        <v>659.78660164805501</v>
      </c>
      <c r="K20" s="13" t="s">
        <v>59</v>
      </c>
      <c r="L20" s="4">
        <v>39.195104368098185</v>
      </c>
      <c r="N20" s="9" t="s">
        <v>85</v>
      </c>
      <c r="O20" s="10">
        <v>3.4935322440475982</v>
      </c>
      <c r="Q20" s="31" t="s">
        <v>117</v>
      </c>
      <c r="R20" s="31"/>
      <c r="S20" s="31" t="s">
        <v>117</v>
      </c>
      <c r="T20" s="31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0.1789815043892197</v>
      </c>
      <c r="H21" s="4">
        <v>0.52460446529691762</v>
      </c>
      <c r="I21" s="4">
        <f t="shared" si="0"/>
        <v>40</v>
      </c>
      <c r="K21" s="13" t="s">
        <v>60</v>
      </c>
      <c r="L21" s="4">
        <v>20.534157255095636</v>
      </c>
      <c r="N21" s="9" t="s">
        <v>86</v>
      </c>
      <c r="O21" s="10">
        <v>22.472364524327521</v>
      </c>
      <c r="Q21" s="22" t="s">
        <v>118</v>
      </c>
      <c r="R21" s="22" t="s">
        <v>41</v>
      </c>
      <c r="S21" s="22" t="s">
        <v>118</v>
      </c>
      <c r="T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-0.37993175416231956</v>
      </c>
      <c r="G22" s="4">
        <v>0.1789815043892197</v>
      </c>
      <c r="H22" s="4">
        <v>0.55275734181882941</v>
      </c>
      <c r="I22" s="4">
        <f t="shared" si="0"/>
        <v>40.008357510841222</v>
      </c>
      <c r="K22" s="13" t="s">
        <v>61</v>
      </c>
      <c r="L22" s="4">
        <v>7.8036300653483694</v>
      </c>
      <c r="N22" s="9" t="s">
        <v>87</v>
      </c>
      <c r="O22" s="6">
        <v>58.888622676875549</v>
      </c>
      <c r="Q22" s="23" t="s">
        <v>113</v>
      </c>
      <c r="R22" s="24">
        <v>234.34207371589633</v>
      </c>
      <c r="S22" s="23" t="s">
        <v>128</v>
      </c>
      <c r="T22" s="27">
        <v>0</v>
      </c>
      <c r="V22" s="30">
        <f>(R23-228195)/228195</f>
        <v>-4.8294650117820311E-2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0.1789815043892197</v>
      </c>
      <c r="H23" s="4">
        <v>6.518635522826691</v>
      </c>
      <c r="I23" s="4">
        <f t="shared" si="0"/>
        <v>74.096480589479199</v>
      </c>
      <c r="K23" s="13" t="s">
        <v>62</v>
      </c>
      <c r="L23" s="4">
        <v>6.6369598496463702</v>
      </c>
      <c r="N23" s="9" t="s">
        <v>88</v>
      </c>
      <c r="O23" s="6">
        <v>23.197115911664334</v>
      </c>
      <c r="Q23" s="23" t="s">
        <v>114</v>
      </c>
      <c r="R23" s="24">
        <v>217174.40231636399</v>
      </c>
      <c r="S23" s="23" t="s">
        <v>129</v>
      </c>
      <c r="T23" s="27">
        <v>0</v>
      </c>
      <c r="V23" s="30">
        <f>(R24-10815)/10815</f>
        <v>-9.4614527382855685E-4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0.1789815043892197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4.6575782017682776</v>
      </c>
      <c r="N24" s="11" t="s">
        <v>89</v>
      </c>
      <c r="O24" s="15">
        <v>23.200446653981288</v>
      </c>
      <c r="Q24" s="23" t="s">
        <v>115</v>
      </c>
      <c r="R24" s="24">
        <v>10804.767438863544</v>
      </c>
      <c r="S24" s="23" t="s">
        <v>127</v>
      </c>
      <c r="T24" s="27">
        <v>245404.71435306963</v>
      </c>
      <c r="V24" s="9"/>
      <c r="W24" s="9"/>
      <c r="X24" s="9"/>
      <c r="Y24" s="9"/>
    </row>
    <row r="25" spans="2:25" x14ac:dyDescent="0.3">
      <c r="B25" s="3">
        <v>15</v>
      </c>
      <c r="C25" s="4">
        <v>396.4382571755965</v>
      </c>
      <c r="D25" s="5">
        <v>31.569242975234697</v>
      </c>
      <c r="E25" s="4">
        <v>383.09995906623425</v>
      </c>
      <c r="F25" s="7">
        <v>1.100267344850671</v>
      </c>
      <c r="G25" s="4">
        <v>0.1789815043892197</v>
      </c>
      <c r="H25" s="4">
        <v>74.65315094719746</v>
      </c>
      <c r="I25" s="4">
        <f t="shared" si="0"/>
        <v>123.28825717559653</v>
      </c>
      <c r="K25" s="13" t="s">
        <v>64</v>
      </c>
      <c r="L25" s="4">
        <v>2.5851286660570616</v>
      </c>
      <c r="Q25" s="9"/>
      <c r="R25" s="9"/>
      <c r="S25" s="9" t="s">
        <v>245</v>
      </c>
      <c r="T25" s="26">
        <v>473618.22618201305</v>
      </c>
      <c r="U25" s="6"/>
      <c r="V25" s="9"/>
      <c r="W25" s="9"/>
      <c r="X25" s="9"/>
      <c r="Y25" s="9"/>
    </row>
    <row r="26" spans="2:25" x14ac:dyDescent="0.3">
      <c r="B26" s="3">
        <v>16</v>
      </c>
      <c r="C26" s="4">
        <v>368.14329244204333</v>
      </c>
      <c r="D26" s="5">
        <v>7.8923107438086744</v>
      </c>
      <c r="E26" s="4">
        <v>342.99545725431005</v>
      </c>
      <c r="F26" s="7">
        <v>1.1196252392794583</v>
      </c>
      <c r="G26" s="4">
        <v>0.1789815043892197</v>
      </c>
      <c r="H26" s="4">
        <v>28.777092911330342</v>
      </c>
      <c r="I26" s="4">
        <f t="shared" si="0"/>
        <v>94.993292442043355</v>
      </c>
      <c r="N26" s="32" t="s">
        <v>76</v>
      </c>
      <c r="O26" s="32"/>
      <c r="Q26" s="9"/>
      <c r="R26" s="9"/>
      <c r="S26" s="9"/>
      <c r="T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0.1789815043892197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3.4593867266388565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3.4593867266388565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304.03312670606874</v>
      </c>
      <c r="D30" s="5">
        <v>101.325</v>
      </c>
      <c r="E30" s="4">
        <v>129.51374904828285</v>
      </c>
      <c r="F30" s="7">
        <v>0.44888385544072534</v>
      </c>
      <c r="G30" s="4">
        <v>3.4593867266388565</v>
      </c>
      <c r="H30" s="4">
        <v>0.23950610643450637</v>
      </c>
      <c r="I30" s="4">
        <f t="shared" si="0"/>
        <v>30.883126706068765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435.4382571755965</v>
      </c>
      <c r="D31" s="5">
        <v>9124.0875912408756</v>
      </c>
      <c r="E31" s="4">
        <v>591.20237940555796</v>
      </c>
      <c r="F31" s="7">
        <v>2.1610567826542426</v>
      </c>
      <c r="G31" s="4">
        <v>0.79946350834994295</v>
      </c>
      <c r="H31" s="4">
        <v>257.03525167707909</v>
      </c>
      <c r="I31" s="4">
        <f t="shared" si="0"/>
        <v>162.28825717559653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423.35913575479753</v>
      </c>
      <c r="D32" s="5">
        <v>9124.0875912408756</v>
      </c>
      <c r="E32" s="4">
        <v>576.60060448894728</v>
      </c>
      <c r="F32" s="7">
        <v>2.1270479527453361</v>
      </c>
      <c r="G32" s="4">
        <v>0.79946350834994295</v>
      </c>
      <c r="H32" s="4">
        <v>252.57320939780874</v>
      </c>
      <c r="I32" s="4">
        <f t="shared" si="0"/>
        <v>150.20913575479756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0.79946350834994295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346.62379557580101</v>
      </c>
      <c r="D34" s="5">
        <v>9124.0875912408756</v>
      </c>
      <c r="E34" s="4">
        <v>468.83049635692191</v>
      </c>
      <c r="F34" s="7">
        <v>1.8443861945514715</v>
      </c>
      <c r="G34" s="4">
        <v>0.79946350834994295</v>
      </c>
      <c r="H34" s="4">
        <v>229.07870447128417</v>
      </c>
      <c r="I34" s="4">
        <f t="shared" si="0"/>
        <v>73.473795575801034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0.86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453.10667720162991</v>
      </c>
      <c r="F36" s="7">
        <v>3.9723306469545014</v>
      </c>
      <c r="G36" s="4">
        <v>0.86</v>
      </c>
      <c r="H36" s="4">
        <v>1.3090660987003904</v>
      </c>
      <c r="I36" s="4">
        <f t="shared" si="0"/>
        <v>5</v>
      </c>
    </row>
    <row r="37" spans="2:25" x14ac:dyDescent="0.3">
      <c r="B37" s="2" t="s">
        <v>32</v>
      </c>
      <c r="C37" s="4">
        <v>346.62379557580101</v>
      </c>
      <c r="D37" s="5">
        <v>9.1240875912408761</v>
      </c>
      <c r="E37" s="4">
        <v>468.83049635692191</v>
      </c>
      <c r="F37" s="7">
        <v>1.8443861945514715</v>
      </c>
      <c r="G37" s="4">
        <v>0.79946350834994295</v>
      </c>
      <c r="H37" s="4">
        <v>229.07870447128417</v>
      </c>
      <c r="I37" s="4">
        <f t="shared" si="0"/>
        <v>73.473795575801034</v>
      </c>
    </row>
    <row r="38" spans="2:25" x14ac:dyDescent="0.3">
      <c r="B38" s="2" t="s">
        <v>33</v>
      </c>
      <c r="C38" s="4">
        <v>332.0521666331224</v>
      </c>
      <c r="D38" s="5">
        <v>9.1240875912408761</v>
      </c>
      <c r="E38" s="4">
        <v>437.98889389020491</v>
      </c>
      <c r="F38" s="7">
        <v>1.7533810774862726</v>
      </c>
      <c r="G38" s="4">
        <v>0.79946350834994295</v>
      </c>
      <c r="H38" s="4">
        <v>225.37027765755619</v>
      </c>
      <c r="I38" s="4">
        <f t="shared" si="0"/>
        <v>58.90216663312242</v>
      </c>
    </row>
    <row r="39" spans="2:25" x14ac:dyDescent="0.3">
      <c r="B39" s="2" t="s">
        <v>33</v>
      </c>
      <c r="C39" s="4">
        <v>332.0521666331224</v>
      </c>
      <c r="D39" s="5">
        <v>9124.0875912408756</v>
      </c>
      <c r="E39" s="4">
        <v>437.98889388965154</v>
      </c>
      <c r="F39" s="7">
        <v>1.7533810774862726</v>
      </c>
      <c r="G39" s="4">
        <v>0.79946350834994295</v>
      </c>
      <c r="H39" s="4">
        <v>225.37027765700279</v>
      </c>
      <c r="I39" s="4">
        <f t="shared" si="0"/>
        <v>58.90216663312242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0.79946350834994295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3.2238763783741314E-4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331.0521666331224</v>
      </c>
      <c r="D42" s="5">
        <v>101.325</v>
      </c>
      <c r="E42" s="4">
        <v>242.4702965888271</v>
      </c>
      <c r="F42" s="7">
        <v>0.80481680342880946</v>
      </c>
      <c r="G42" s="4">
        <v>3.2238763783741314E-4</v>
      </c>
      <c r="H42" s="4">
        <v>7.0746452043314934</v>
      </c>
      <c r="I42" s="4">
        <f t="shared" si="0"/>
        <v>57.90216663312242</v>
      </c>
    </row>
  </sheetData>
  <mergeCells count="8">
    <mergeCell ref="S20:T20"/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6"/>
  <sheetViews>
    <sheetView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4.44140625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5.33203125" bestFit="1" customWidth="1"/>
    <col min="13" max="13" width="22.33203125" bestFit="1" customWidth="1"/>
  </cols>
  <sheetData>
    <row r="1" spans="1:13" x14ac:dyDescent="0.3">
      <c r="A1" s="1" t="s">
        <v>238</v>
      </c>
      <c r="B1" s="1" t="s">
        <v>239</v>
      </c>
      <c r="C1" s="1" t="s">
        <v>202</v>
      </c>
      <c r="E1" s="1" t="s">
        <v>227</v>
      </c>
      <c r="F1" s="1" t="s">
        <v>234</v>
      </c>
      <c r="G1" s="1" t="s">
        <v>235</v>
      </c>
      <c r="H1" s="1" t="s">
        <v>236</v>
      </c>
      <c r="I1" s="1" t="s">
        <v>237</v>
      </c>
      <c r="K1" s="1" t="s">
        <v>240</v>
      </c>
      <c r="L1" s="1" t="s">
        <v>241</v>
      </c>
      <c r="M1" s="1" t="s">
        <v>242</v>
      </c>
    </row>
    <row r="2" spans="1:13" x14ac:dyDescent="0.3">
      <c r="A2" t="s">
        <v>203</v>
      </c>
      <c r="B2">
        <v>6.2240819709105791E-2</v>
      </c>
      <c r="C2">
        <v>47.092174281440272</v>
      </c>
      <c r="E2" t="s">
        <v>66</v>
      </c>
      <c r="F2">
        <v>25.031935161652605</v>
      </c>
      <c r="G2">
        <v>1.5412694860114715</v>
      </c>
      <c r="H2">
        <v>9.5929876201986147E-2</v>
      </c>
      <c r="I2">
        <v>99.618233080854779</v>
      </c>
      <c r="K2" s="29">
        <v>0.37217854911101822</v>
      </c>
      <c r="L2" s="29">
        <v>0.60389489005271357</v>
      </c>
      <c r="M2" s="29">
        <v>0.30201493343058861</v>
      </c>
    </row>
    <row r="3" spans="1:13" x14ac:dyDescent="0.3">
      <c r="A3" t="s">
        <v>204</v>
      </c>
      <c r="B3">
        <v>6.2240819709105791E-2</v>
      </c>
      <c r="C3">
        <v>42.718433960343184</v>
      </c>
      <c r="E3" t="s">
        <v>67</v>
      </c>
      <c r="F3">
        <v>8.882596502083512</v>
      </c>
      <c r="G3">
        <v>2.8065325482354964</v>
      </c>
      <c r="H3">
        <v>0.16660669022943383</v>
      </c>
      <c r="I3">
        <v>98.158879995412605</v>
      </c>
    </row>
    <row r="4" spans="1:13" x14ac:dyDescent="0.3">
      <c r="A4" t="s">
        <v>205</v>
      </c>
      <c r="B4">
        <v>5.9363890268859215E-2</v>
      </c>
      <c r="C4">
        <v>43.721665583575962</v>
      </c>
      <c r="E4" t="s">
        <v>69</v>
      </c>
      <c r="F4">
        <v>0.27111169102991423</v>
      </c>
      <c r="G4">
        <v>3.1173934843303797</v>
      </c>
      <c r="H4">
        <v>0.94149938564699032</v>
      </c>
      <c r="I4">
        <v>22.357678916547691</v>
      </c>
    </row>
    <row r="5" spans="1:13" x14ac:dyDescent="0.3">
      <c r="A5" t="s">
        <v>206</v>
      </c>
      <c r="B5">
        <v>5.9363890268859201E-2</v>
      </c>
      <c r="C5">
        <v>36.444180963961543</v>
      </c>
      <c r="E5" t="s">
        <v>70</v>
      </c>
      <c r="F5">
        <v>6.8005339576619236E-2</v>
      </c>
      <c r="G5">
        <v>1.1383330527634061</v>
      </c>
      <c r="H5">
        <v>0.34379358115217878</v>
      </c>
      <c r="I5">
        <v>16.514210250056994</v>
      </c>
    </row>
    <row r="6" spans="1:13" x14ac:dyDescent="0.3">
      <c r="A6" t="s">
        <v>207</v>
      </c>
      <c r="B6">
        <v>5.9363890268859201E-2</v>
      </c>
      <c r="C6">
        <v>19.321539781942818</v>
      </c>
      <c r="E6" t="s">
        <v>59</v>
      </c>
      <c r="F6">
        <v>1.4503104688313615</v>
      </c>
      <c r="G6">
        <v>3.4691288051130833</v>
      </c>
      <c r="H6">
        <v>0.20594098171527173</v>
      </c>
      <c r="I6">
        <v>87.565838408938305</v>
      </c>
    </row>
    <row r="7" spans="1:13" x14ac:dyDescent="0.3">
      <c r="A7" t="s">
        <v>208</v>
      </c>
      <c r="B7">
        <v>5.9363890268859222E-2</v>
      </c>
      <c r="C7">
        <v>15.257791510267515</v>
      </c>
      <c r="E7" t="s">
        <v>60</v>
      </c>
      <c r="F7">
        <v>0.99041125343622705</v>
      </c>
      <c r="G7">
        <v>7.1429330882120778</v>
      </c>
      <c r="H7">
        <v>0.42403229604642539</v>
      </c>
      <c r="I7">
        <v>70.021264107604736</v>
      </c>
    </row>
    <row r="8" spans="1:13" x14ac:dyDescent="0.3">
      <c r="A8" t="s">
        <v>209</v>
      </c>
      <c r="B8">
        <v>9.6159289231950045E-4</v>
      </c>
      <c r="C8">
        <v>0.17245615864034747</v>
      </c>
      <c r="E8" t="s">
        <v>229</v>
      </c>
      <c r="F8">
        <v>0.55964063697403266</v>
      </c>
      <c r="G8">
        <v>9.087639387171599</v>
      </c>
      <c r="H8">
        <v>0.53947762738301808</v>
      </c>
      <c r="I8">
        <v>50.917235671759556</v>
      </c>
    </row>
    <row r="9" spans="1:13" x14ac:dyDescent="0.3">
      <c r="A9" t="s">
        <v>210</v>
      </c>
      <c r="B9">
        <v>5.6377339440876452E-2</v>
      </c>
      <c r="C9">
        <v>12.113667063657699</v>
      </c>
      <c r="E9" t="s">
        <v>230</v>
      </c>
      <c r="F9">
        <v>0.5921318853136408</v>
      </c>
      <c r="G9">
        <v>1.0330018156282741</v>
      </c>
      <c r="H9">
        <v>1.6284752057777221</v>
      </c>
      <c r="I9">
        <v>26.665315430593594</v>
      </c>
    </row>
    <row r="10" spans="1:13" x14ac:dyDescent="0.3">
      <c r="A10" t="s">
        <v>211</v>
      </c>
      <c r="B10">
        <v>6.2161817134139034E-2</v>
      </c>
      <c r="C10">
        <v>17.167826588769231</v>
      </c>
      <c r="E10" t="s">
        <v>231</v>
      </c>
      <c r="F10">
        <v>7.7682084525008293E-4</v>
      </c>
      <c r="G10">
        <v>8.3949658717156963E-4</v>
      </c>
      <c r="H10">
        <v>2.5354050588982793E-4</v>
      </c>
      <c r="I10">
        <v>75.393049670454886</v>
      </c>
    </row>
    <row r="11" spans="1:13" x14ac:dyDescent="0.3">
      <c r="A11" t="s">
        <v>212</v>
      </c>
      <c r="B11">
        <v>0.12742541145833755</v>
      </c>
      <c r="C11">
        <v>8.8275955838001803</v>
      </c>
      <c r="E11" t="s">
        <v>232</v>
      </c>
      <c r="F11">
        <v>0.19480471176576394</v>
      </c>
      <c r="G11">
        <v>4.2282153795985042</v>
      </c>
      <c r="H11">
        <v>6.6655680621203937</v>
      </c>
      <c r="I11">
        <v>2.8395645278531121</v>
      </c>
    </row>
    <row r="12" spans="1:13" x14ac:dyDescent="0.3">
      <c r="A12" t="s">
        <v>213</v>
      </c>
      <c r="B12">
        <v>7.5249549372386385E-2</v>
      </c>
      <c r="C12">
        <v>25.995422172569413</v>
      </c>
      <c r="E12" t="s">
        <v>63</v>
      </c>
      <c r="F12">
        <v>0.16238339350322922</v>
      </c>
      <c r="G12">
        <v>1.8571112073122706</v>
      </c>
      <c r="H12">
        <v>0.11024534592795437</v>
      </c>
      <c r="I12">
        <v>59.562096733465516</v>
      </c>
    </row>
    <row r="13" spans="1:13" x14ac:dyDescent="0.3">
      <c r="A13" t="s">
        <v>214</v>
      </c>
      <c r="B13">
        <v>7.0696056119752354E-2</v>
      </c>
      <c r="C13">
        <v>44.568373823419499</v>
      </c>
      <c r="E13" t="s">
        <v>233</v>
      </c>
      <c r="F13">
        <v>0.11998394168882738</v>
      </c>
      <c r="G13">
        <v>0.81772333798409824</v>
      </c>
      <c r="H13">
        <v>7.8631694968928577E-4</v>
      </c>
      <c r="I13">
        <v>99.348915073500962</v>
      </c>
    </row>
    <row r="14" spans="1:13" x14ac:dyDescent="0.3">
      <c r="A14" t="s">
        <v>215</v>
      </c>
      <c r="B14">
        <v>5.9363890268859236E-2</v>
      </c>
      <c r="C14">
        <v>3.0597439797970734</v>
      </c>
      <c r="E14" s="28" t="s">
        <v>173</v>
      </c>
      <c r="F14" s="28">
        <v>0.38530984394830042</v>
      </c>
      <c r="G14" s="28">
        <v>2.9300645561034075</v>
      </c>
      <c r="H14" s="28">
        <v>0.88492325185889775</v>
      </c>
      <c r="I14" s="28">
        <v>30.333790327156184</v>
      </c>
    </row>
    <row r="15" spans="1:13" x14ac:dyDescent="0.3">
      <c r="A15" t="s">
        <v>216</v>
      </c>
      <c r="B15">
        <v>5.936389026885925E-2</v>
      </c>
      <c r="C15">
        <v>12.198047530470447</v>
      </c>
    </row>
    <row r="16" spans="1:13" x14ac:dyDescent="0.3">
      <c r="A16" t="s">
        <v>217</v>
      </c>
      <c r="B16">
        <v>5.9363890268859257E-2</v>
      </c>
      <c r="C16">
        <v>1.0871906708533677E-2</v>
      </c>
    </row>
    <row r="17" spans="1:3" x14ac:dyDescent="0.3">
      <c r="A17" t="s">
        <v>218</v>
      </c>
      <c r="B17">
        <v>9.6159289231950089E-4</v>
      </c>
      <c r="C17">
        <v>0.17325530021176289</v>
      </c>
    </row>
    <row r="18" spans="1:3" x14ac:dyDescent="0.3">
      <c r="A18" t="s">
        <v>228</v>
      </c>
      <c r="B18">
        <v>2E-3</v>
      </c>
      <c r="C18">
        <v>1.6167034518646481E-11</v>
      </c>
    </row>
    <row r="19" spans="1:3" x14ac:dyDescent="0.3">
      <c r="A19" t="s">
        <v>219</v>
      </c>
      <c r="B19">
        <v>52.956962500131382</v>
      </c>
      <c r="C19">
        <v>0.12078308327640971</v>
      </c>
    </row>
    <row r="20" spans="1:3" x14ac:dyDescent="0.3">
      <c r="A20" t="s">
        <v>220</v>
      </c>
      <c r="B20">
        <v>1.5764495097109579</v>
      </c>
      <c r="C20">
        <v>21.063782562901068</v>
      </c>
    </row>
    <row r="21" spans="1:3" x14ac:dyDescent="0.3">
      <c r="A21" t="s">
        <v>221</v>
      </c>
      <c r="B21">
        <v>1.5764495097109579</v>
      </c>
      <c r="C21">
        <v>8.1196094228547704</v>
      </c>
    </row>
    <row r="22" spans="1:3" x14ac:dyDescent="0.3">
      <c r="A22" t="s">
        <v>222</v>
      </c>
      <c r="B22">
        <v>88.550601501488359</v>
      </c>
      <c r="C22">
        <v>8.3144141346205345</v>
      </c>
    </row>
    <row r="23" spans="1:3" x14ac:dyDescent="0.3">
      <c r="A23" t="s">
        <v>223</v>
      </c>
      <c r="B23">
        <v>84.066364803290213</v>
      </c>
      <c r="C23">
        <v>8.3169663021651221</v>
      </c>
    </row>
    <row r="24" spans="1:3" x14ac:dyDescent="0.3">
      <c r="A24" t="s">
        <v>224</v>
      </c>
      <c r="B24">
        <v>0.60389489005271357</v>
      </c>
      <c r="C24">
        <v>2.5513868371347943</v>
      </c>
    </row>
    <row r="25" spans="1:3" x14ac:dyDescent="0.3">
      <c r="A25" t="s">
        <v>225</v>
      </c>
      <c r="B25">
        <v>0</v>
      </c>
      <c r="C25">
        <v>0</v>
      </c>
    </row>
    <row r="26" spans="1:3" x14ac:dyDescent="0.3">
      <c r="A26" s="28" t="s">
        <v>226</v>
      </c>
      <c r="B26" s="28">
        <v>0.30201493343058861</v>
      </c>
      <c r="C26" s="28">
        <v>2.1660769931864938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130</v>
      </c>
      <c r="C1" t="s">
        <v>37</v>
      </c>
      <c r="D1" t="s">
        <v>38</v>
      </c>
      <c r="E1" t="s">
        <v>39</v>
      </c>
      <c r="F1" t="s">
        <v>131</v>
      </c>
      <c r="G1" t="s">
        <v>132</v>
      </c>
      <c r="H1" t="s">
        <v>133</v>
      </c>
      <c r="I1" t="s">
        <v>134</v>
      </c>
      <c r="J1" t="s">
        <v>193</v>
      </c>
      <c r="K1" t="s">
        <v>194</v>
      </c>
      <c r="L1" t="s">
        <v>195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190</v>
      </c>
    </row>
    <row r="2" spans="1:32" x14ac:dyDescent="0.3">
      <c r="A2" t="s">
        <v>154</v>
      </c>
      <c r="B2" t="s">
        <v>155</v>
      </c>
      <c r="C2">
        <v>1</v>
      </c>
      <c r="D2">
        <v>-1</v>
      </c>
      <c r="X2">
        <v>-1</v>
      </c>
    </row>
    <row r="3" spans="1:32" x14ac:dyDescent="0.3">
      <c r="A3" t="s">
        <v>176</v>
      </c>
      <c r="B3">
        <v>0</v>
      </c>
      <c r="C3">
        <v>-1</v>
      </c>
      <c r="D3" t="s">
        <v>177</v>
      </c>
    </row>
    <row r="4" spans="1:32" x14ac:dyDescent="0.3">
      <c r="A4" t="s">
        <v>156</v>
      </c>
      <c r="B4" t="s">
        <v>157</v>
      </c>
      <c r="E4">
        <v>1</v>
      </c>
      <c r="F4">
        <v>-1</v>
      </c>
      <c r="Z4">
        <v>-1</v>
      </c>
    </row>
    <row r="5" spans="1:32" x14ac:dyDescent="0.3">
      <c r="A5" t="s">
        <v>187</v>
      </c>
      <c r="B5">
        <v>0</v>
      </c>
      <c r="E5">
        <v>-1</v>
      </c>
      <c r="F5" t="s">
        <v>178</v>
      </c>
    </row>
    <row r="6" spans="1:32" x14ac:dyDescent="0.3">
      <c r="A6" t="s">
        <v>37</v>
      </c>
      <c r="B6" t="s">
        <v>158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159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160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179</v>
      </c>
      <c r="B9">
        <v>0</v>
      </c>
      <c r="F9">
        <v>-1</v>
      </c>
      <c r="G9" t="s">
        <v>181</v>
      </c>
    </row>
    <row r="10" spans="1:32" x14ac:dyDescent="0.3">
      <c r="A10" t="s">
        <v>60</v>
      </c>
      <c r="B10" t="s">
        <v>161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180</v>
      </c>
      <c r="B11">
        <v>0</v>
      </c>
      <c r="G11">
        <v>-1</v>
      </c>
      <c r="H11" t="s">
        <v>182</v>
      </c>
    </row>
    <row r="12" spans="1:32" x14ac:dyDescent="0.3">
      <c r="A12" t="s">
        <v>183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162</v>
      </c>
      <c r="B13" t="s">
        <v>163</v>
      </c>
      <c r="K13">
        <v>-1</v>
      </c>
      <c r="L13">
        <v>1</v>
      </c>
    </row>
    <row r="14" spans="1:32" x14ac:dyDescent="0.3">
      <c r="A14" t="s">
        <v>198</v>
      </c>
      <c r="B14">
        <v>0</v>
      </c>
      <c r="K14" t="s">
        <v>199</v>
      </c>
      <c r="L14">
        <v>-1</v>
      </c>
    </row>
    <row r="15" spans="1:32" x14ac:dyDescent="0.3">
      <c r="A15" t="s">
        <v>64</v>
      </c>
      <c r="B15" t="s">
        <v>164</v>
      </c>
      <c r="K15">
        <v>1</v>
      </c>
      <c r="M15">
        <v>-1</v>
      </c>
      <c r="W15">
        <v>-1</v>
      </c>
    </row>
    <row r="16" spans="1:32" x14ac:dyDescent="0.3">
      <c r="A16" t="s">
        <v>184</v>
      </c>
      <c r="B16">
        <v>0</v>
      </c>
      <c r="K16">
        <v>-1</v>
      </c>
      <c r="M16" t="s">
        <v>185</v>
      </c>
    </row>
    <row r="17" spans="1:32" x14ac:dyDescent="0.3">
      <c r="A17" t="s">
        <v>165</v>
      </c>
      <c r="B17" t="s">
        <v>166</v>
      </c>
      <c r="S17">
        <v>1</v>
      </c>
      <c r="T17">
        <v>-1</v>
      </c>
      <c r="AE17">
        <v>-1</v>
      </c>
    </row>
    <row r="18" spans="1:32" x14ac:dyDescent="0.3">
      <c r="A18" t="s">
        <v>186</v>
      </c>
      <c r="B18">
        <v>0</v>
      </c>
      <c r="S18">
        <v>-1</v>
      </c>
      <c r="T18" t="s">
        <v>188</v>
      </c>
    </row>
    <row r="19" spans="1:32" x14ac:dyDescent="0.3">
      <c r="A19" t="s">
        <v>167</v>
      </c>
      <c r="B19" t="s">
        <v>168</v>
      </c>
      <c r="U19">
        <v>1</v>
      </c>
      <c r="V19">
        <v>-1</v>
      </c>
      <c r="AF19">
        <v>1</v>
      </c>
    </row>
    <row r="20" spans="1:32" x14ac:dyDescent="0.3">
      <c r="A20" t="s">
        <v>189</v>
      </c>
      <c r="B20">
        <v>0</v>
      </c>
      <c r="AE20" t="s">
        <v>191</v>
      </c>
      <c r="AF20">
        <v>-1</v>
      </c>
    </row>
    <row r="21" spans="1:32" x14ac:dyDescent="0.3">
      <c r="A21" t="s">
        <v>169</v>
      </c>
      <c r="B21" t="s">
        <v>170</v>
      </c>
      <c r="T21">
        <v>1</v>
      </c>
      <c r="U21">
        <v>-1</v>
      </c>
    </row>
    <row r="22" spans="1:32" x14ac:dyDescent="0.3">
      <c r="A22" t="s">
        <v>175</v>
      </c>
      <c r="B22">
        <v>0</v>
      </c>
      <c r="T22">
        <v>-1</v>
      </c>
      <c r="U22" t="s">
        <v>200</v>
      </c>
    </row>
    <row r="23" spans="1:32" x14ac:dyDescent="0.3">
      <c r="A23" t="s">
        <v>171</v>
      </c>
      <c r="B23" t="s">
        <v>172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192</v>
      </c>
      <c r="B24">
        <v>0</v>
      </c>
      <c r="I24">
        <v>-1</v>
      </c>
      <c r="K24" t="s">
        <v>196</v>
      </c>
    </row>
    <row r="25" spans="1:32" x14ac:dyDescent="0.3">
      <c r="A25" t="s">
        <v>173</v>
      </c>
      <c r="B25" t="s">
        <v>174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197</v>
      </c>
    </row>
    <row r="33" spans="1:1" x14ac:dyDescent="0.3">
      <c r="A33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</vt:lpstr>
      <vt:lpstr>rc</vt:lpstr>
      <vt:lpstr>nt</vt:lpstr>
      <vt:lpstr>nc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2026-04-13T04:44:39Z</dcterms:modified>
</cp:coreProperties>
</file>