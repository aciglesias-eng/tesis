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ih0\Documents\CODIGO\tes2\"/>
    </mc:Choice>
  </mc:AlternateContent>
  <xr:revisionPtr revIDLastSave="0" documentId="13_ncr:1_{B0A858FA-2336-44E5-A497-0C75CCEB9BE6}" xr6:coauthVersionLast="47" xr6:coauthVersionMax="47" xr10:uidLastSave="{00000000-0000-0000-0000-000000000000}"/>
  <bookViews>
    <workbookView xWindow="3336" yWindow="3540" windowWidth="17280" windowHeight="9420" xr2:uid="{C4CE93A3-0861-4D2C-B953-37868A8DFB1C}"/>
  </bookViews>
  <sheets>
    <sheet name="T" sheetId="3" r:id="rId1"/>
    <sheet name="rc" sheetId="6" r:id="rId2"/>
    <sheet name="nt" sheetId="7" r:id="rId3"/>
    <sheet name="nc" sheetId="8" r:id="rId4"/>
    <sheet name="Energy_Exergy" sheetId="2" r:id="rId5"/>
    <sheet name="Exergoeconomico" sheetId="5" r:id="rId6"/>
    <sheet name="EXERGO" sheetId="4" r:id="rId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3" i="2" l="1"/>
  <c r="I44" i="2"/>
  <c r="V18" i="2"/>
  <c r="V23" i="2"/>
  <c r="V22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3" i="2"/>
</calcChain>
</file>

<file path=xl/sharedStrings.xml><?xml version="1.0" encoding="utf-8"?>
<sst xmlns="http://schemas.openxmlformats.org/spreadsheetml/2006/main" count="403" uniqueCount="257">
  <si>
    <t>T [°C]</t>
  </si>
  <si>
    <t>n_ex [%]</t>
  </si>
  <si>
    <t>n_th [%]</t>
  </si>
  <si>
    <t>n_en_PEM [%]</t>
  </si>
  <si>
    <t>n_ex_PEM [%]</t>
  </si>
  <si>
    <t>T_in_PEM [°C]</t>
  </si>
  <si>
    <t>m_H2 [kg/h]</t>
  </si>
  <si>
    <t>m_H2O_in [kg/h]</t>
  </si>
  <si>
    <t>XD Compresor 1 [kW]</t>
  </si>
  <si>
    <t>XD Compresor 2 [kW]</t>
  </si>
  <si>
    <t>XD Turbina 1 [kW]</t>
  </si>
  <si>
    <t>XD Turbina 2 [kW]</t>
  </si>
  <si>
    <t>XD HTR [kW]</t>
  </si>
  <si>
    <t>XD LTR [kW]</t>
  </si>
  <si>
    <t>XD Loss field [kW]</t>
  </si>
  <si>
    <t>XD Cooler [kW]</t>
  </si>
  <si>
    <t>XD Pérdida aire [kW]</t>
  </si>
  <si>
    <t>XD Evaporador 1 [kW]</t>
  </si>
  <si>
    <t>XD Condensador [kW]</t>
  </si>
  <si>
    <t>XD Pérdida agua [kW]</t>
  </si>
  <si>
    <t>Exergía solar aportada [kW]</t>
  </si>
  <si>
    <t>Exergía destruida total [kW]</t>
  </si>
  <si>
    <t>State</t>
  </si>
  <si>
    <t>T [K]</t>
  </si>
  <si>
    <t>P [kPa]</t>
  </si>
  <si>
    <t>h [kJ/kg]</t>
  </si>
  <si>
    <t>s [kJ/kg-K]</t>
  </si>
  <si>
    <t>m [kg/s]</t>
  </si>
  <si>
    <t>16vs</t>
  </si>
  <si>
    <t>6AI</t>
  </si>
  <si>
    <t>6AO1</t>
  </si>
  <si>
    <t>6AO2</t>
  </si>
  <si>
    <t>6AO3</t>
  </si>
  <si>
    <t>6AO</t>
  </si>
  <si>
    <t>6BI</t>
  </si>
  <si>
    <t>15ls</t>
  </si>
  <si>
    <t>15vs</t>
  </si>
  <si>
    <t>C1</t>
  </si>
  <si>
    <t>C2</t>
  </si>
  <si>
    <t>C3</t>
  </si>
  <si>
    <t>Componentes</t>
  </si>
  <si>
    <t>Valor</t>
  </si>
  <si>
    <t>Q_Heater</t>
  </si>
  <si>
    <t>Q_Re-heater</t>
  </si>
  <si>
    <t>Q_HTR</t>
  </si>
  <si>
    <t>Q_LTR</t>
  </si>
  <si>
    <t>Q_Cooler</t>
  </si>
  <si>
    <t>Q_total</t>
  </si>
  <si>
    <t>Q_Evap_etapa1</t>
  </si>
  <si>
    <t>Q_Evap_etapa2</t>
  </si>
  <si>
    <t>Q_Evap_etapa3</t>
  </si>
  <si>
    <t>Q_Evap_total</t>
  </si>
  <si>
    <t>Q_Cond_etapa1</t>
  </si>
  <si>
    <t>Q_Cond_total</t>
  </si>
  <si>
    <t>Q_Cond_etapa2</t>
  </si>
  <si>
    <t>Q_HE</t>
  </si>
  <si>
    <t>Calor y Exergias [ MW]</t>
  </si>
  <si>
    <t>x [kJ/kgK]</t>
  </si>
  <si>
    <t>Areas [m2]</t>
  </si>
  <si>
    <t>HTR</t>
  </si>
  <si>
    <t>LTR</t>
  </si>
  <si>
    <t>Evaporador</t>
  </si>
  <si>
    <t>Condensador</t>
  </si>
  <si>
    <t>Cooler</t>
  </si>
  <si>
    <t>HE</t>
  </si>
  <si>
    <t>Potencias [ kW]</t>
  </si>
  <si>
    <t>Turbina 1</t>
  </si>
  <si>
    <t>Turbina 2</t>
  </si>
  <si>
    <t>Turbina 3</t>
  </si>
  <si>
    <t>Compresor 1</t>
  </si>
  <si>
    <t>Compresor 2</t>
  </si>
  <si>
    <t>Bomba 1</t>
  </si>
  <si>
    <t>W_SBCR</t>
  </si>
  <si>
    <t>W_ORC</t>
  </si>
  <si>
    <t>W_ORC + SBCR</t>
  </si>
  <si>
    <t>Eficiencias [%]</t>
  </si>
  <si>
    <t>Parametros Field solar</t>
  </si>
  <si>
    <t>nt</t>
  </si>
  <si>
    <t>Fi</t>
  </si>
  <si>
    <t>nfield</t>
  </si>
  <si>
    <t>nth_ORC</t>
  </si>
  <si>
    <t>nth_SBCR</t>
  </si>
  <si>
    <t>nth_PEM</t>
  </si>
  <si>
    <t>nth_ciclo</t>
  </si>
  <si>
    <t>n_ciclo sin PEM</t>
  </si>
  <si>
    <t>nex_ORC</t>
  </si>
  <si>
    <t>nex_SBCR</t>
  </si>
  <si>
    <t>nex_PEM</t>
  </si>
  <si>
    <t>nex_ciclo</t>
  </si>
  <si>
    <t>nex_ciclo_2</t>
  </si>
  <si>
    <t>W Neto [MW]</t>
  </si>
  <si>
    <t>n_ciclo sin PEM[%]</t>
  </si>
  <si>
    <t>XD Turbina 3 [kW]</t>
  </si>
  <si>
    <t>XD Loss Solar receiver [kW]</t>
  </si>
  <si>
    <t>XD CSP [kW]</t>
  </si>
  <si>
    <t>XD Bomba 2 [kW]</t>
  </si>
  <si>
    <t>XD HE [kW]</t>
  </si>
  <si>
    <t>W_Rankine [MW]</t>
  </si>
  <si>
    <t>Y.Evap</t>
  </si>
  <si>
    <t>Y.Cond</t>
  </si>
  <si>
    <t>Y.HTR</t>
  </si>
  <si>
    <t>Y.HE</t>
  </si>
  <si>
    <t>Y.T1</t>
  </si>
  <si>
    <t>Y.T2</t>
  </si>
  <si>
    <t>Y.Cooler</t>
  </si>
  <si>
    <t>Y.LTR</t>
  </si>
  <si>
    <t>Y.T3</t>
  </si>
  <si>
    <t>Y.C1</t>
  </si>
  <si>
    <t>Y.C2</t>
  </si>
  <si>
    <t>Y.B2</t>
  </si>
  <si>
    <t xml:space="preserve">Y.wf </t>
  </si>
  <si>
    <t>Y.co2</t>
  </si>
  <si>
    <t>Y.CSP</t>
  </si>
  <si>
    <t>Yom total</t>
  </si>
  <si>
    <t>Yco total</t>
  </si>
  <si>
    <t>Yde total</t>
  </si>
  <si>
    <t>Impacto por componente [kgCO2-eq]</t>
  </si>
  <si>
    <t>Impacto por fases [kgCO2-eq]</t>
  </si>
  <si>
    <t>EWR</t>
  </si>
  <si>
    <t>EEF</t>
  </si>
  <si>
    <t>ESI</t>
  </si>
  <si>
    <t>XD PEM [kW]</t>
  </si>
  <si>
    <t>Y.PEM</t>
  </si>
  <si>
    <t>Y total [kgCO2-eq/kWh]</t>
  </si>
  <si>
    <t>n_ex2 [%]</t>
  </si>
  <si>
    <t>Y PEM [kgCO2-eq/kgH2]</t>
  </si>
  <si>
    <t>Yom PEM</t>
  </si>
  <si>
    <t>Yco PEM</t>
  </si>
  <si>
    <t>Yde PEM</t>
  </si>
  <si>
    <t>Z</t>
  </si>
  <si>
    <t>C4</t>
  </si>
  <si>
    <t xml:space="preserve">C5 </t>
  </si>
  <si>
    <t>C6</t>
  </si>
  <si>
    <t>C6AI</t>
  </si>
  <si>
    <t>C7</t>
  </si>
  <si>
    <t>C8</t>
  </si>
  <si>
    <t>C9</t>
  </si>
  <si>
    <t>C10</t>
  </si>
  <si>
    <t>C11</t>
  </si>
  <si>
    <t>C12</t>
  </si>
  <si>
    <t>C15</t>
  </si>
  <si>
    <t>C16</t>
  </si>
  <si>
    <t>C17</t>
  </si>
  <si>
    <t>C18</t>
  </si>
  <si>
    <t>C20</t>
  </si>
  <si>
    <t>CWT1</t>
  </si>
  <si>
    <t>CNETO</t>
  </si>
  <si>
    <t>CWT2</t>
  </si>
  <si>
    <t>CWC1</t>
  </si>
  <si>
    <t>CWC2</t>
  </si>
  <si>
    <t>CH2</t>
  </si>
  <si>
    <t>CO2</t>
  </si>
  <si>
    <t>CWT3</t>
  </si>
  <si>
    <t>T1</t>
  </si>
  <si>
    <t>"-ZT1"</t>
  </si>
  <si>
    <t>T2</t>
  </si>
  <si>
    <t>"-ZT2"</t>
  </si>
  <si>
    <t>"-ZC1"</t>
  </si>
  <si>
    <t>"-ZC2"</t>
  </si>
  <si>
    <t>"-ZHTR"</t>
  </si>
  <si>
    <t>"-ZLTR"</t>
  </si>
  <si>
    <t>COOLER</t>
  </si>
  <si>
    <t>"-ZCOOLER"</t>
  </si>
  <si>
    <t>"-ZHE"</t>
  </si>
  <si>
    <t>T3</t>
  </si>
  <si>
    <t>"-ZT3"</t>
  </si>
  <si>
    <t>B2</t>
  </si>
  <si>
    <t>"-ZB2"</t>
  </si>
  <si>
    <t>COND</t>
  </si>
  <si>
    <t>"-ZCOND"</t>
  </si>
  <si>
    <t>EVAP</t>
  </si>
  <si>
    <t>"-ZEVAP"</t>
  </si>
  <si>
    <t>PEM</t>
  </si>
  <si>
    <t>"-ZPEM"</t>
  </si>
  <si>
    <t>AUX</t>
  </si>
  <si>
    <t>AUX T1</t>
  </si>
  <si>
    <t>E1/E2</t>
  </si>
  <si>
    <t>E3/E4</t>
  </si>
  <si>
    <t>AUX HTR</t>
  </si>
  <si>
    <t>AUX LTR</t>
  </si>
  <si>
    <t>E4/E5</t>
  </si>
  <si>
    <t>E5/E6</t>
  </si>
  <si>
    <t>AUX LTR 2</t>
  </si>
  <si>
    <t>AUX HE</t>
  </si>
  <si>
    <t>E6AO/E7</t>
  </si>
  <si>
    <t>AUX T3</t>
  </si>
  <si>
    <t>AUX T2</t>
  </si>
  <si>
    <t>E15/E16</t>
  </si>
  <si>
    <t>AUX B2</t>
  </si>
  <si>
    <t>WB2</t>
  </si>
  <si>
    <t>WB2/WT3</t>
  </si>
  <si>
    <t>AUX EVAP</t>
  </si>
  <si>
    <t>C6BI</t>
  </si>
  <si>
    <t>C6AO</t>
  </si>
  <si>
    <t>C6AO3</t>
  </si>
  <si>
    <t>E6AI/E6AO3</t>
  </si>
  <si>
    <t>30 incognitas</t>
  </si>
  <si>
    <t>AUX COOLER</t>
  </si>
  <si>
    <t>E6AO3/E6AO</t>
  </si>
  <si>
    <t>E16/E17</t>
  </si>
  <si>
    <t>24 ecuaciones</t>
  </si>
  <si>
    <t>Cdot (USD/h)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</si>
  <si>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</si>
  <si>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</si>
  <si>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</si>
  <si>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</si>
  <si>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</si>
  <si>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</si>
  <si>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</si>
  <si>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</si>
  <si>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</si>
  <si>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</si>
  <si>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</si>
  <si>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</si>
  <si>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c6BI</t>
  </si>
  <si>
    <t>c6AI</t>
  </si>
  <si>
    <t>c6AO3</t>
  </si>
  <si>
    <t>c6AO</t>
  </si>
  <si>
    <t>c20</t>
  </si>
  <si>
    <t>c15</t>
  </si>
  <si>
    <t>c16</t>
  </si>
  <si>
    <t>c17</t>
  </si>
  <si>
    <t>c18</t>
  </si>
  <si>
    <t>cH2</t>
  </si>
  <si>
    <t>cO2</t>
  </si>
  <si>
    <t>cel</t>
  </si>
  <si>
    <t>Componente</t>
  </si>
  <si>
    <t>c19</t>
  </si>
  <si>
    <t>Turbina ORC</t>
  </si>
  <si>
    <t>Bomba ORC</t>
  </si>
  <si>
    <t>HE-PEM</t>
  </si>
  <si>
    <t>Zdot (USD/h)</t>
  </si>
  <si>
    <t>ED (kW)</t>
  </si>
  <si>
    <t>CD (USD/h)</t>
  </si>
  <si>
    <t>f (%)</t>
  </si>
  <si>
    <t>Fluido</t>
  </si>
  <si>
    <t>Costo Unit. (USD/kWh_ex)</t>
  </si>
  <si>
    <t>LCOEn sistema [USD/kWh]</t>
  </si>
  <si>
    <t>c_H2 [USD/kWh_ex]</t>
  </si>
  <si>
    <t>c_el_bus interno [USD/kWh_ex]</t>
  </si>
  <si>
    <t>rc</t>
  </si>
  <si>
    <t>nc</t>
  </si>
  <si>
    <t>Y TOTAL</t>
  </si>
  <si>
    <t>LCOEn</t>
  </si>
  <si>
    <t>LCOH</t>
  </si>
  <si>
    <t>c el [USD/kWh]</t>
  </si>
  <si>
    <t>18r</t>
  </si>
  <si>
    <t>16r</t>
  </si>
  <si>
    <t>Q_regen</t>
  </si>
  <si>
    <t>Regenerador</t>
  </si>
  <si>
    <t>Y.regen</t>
  </si>
  <si>
    <t>c16r</t>
  </si>
  <si>
    <t>c18r</t>
  </si>
  <si>
    <t>Evaporador RORC</t>
  </si>
  <si>
    <t>Regenerador RORC</t>
  </si>
  <si>
    <t>Condensador RORC</t>
  </si>
  <si>
    <t>XD reg [kW]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</si>
</sst>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000"/>
    <numFmt numFmtId="167" formatCode="0.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2" fillId="2" borderId="3" xfId="0" applyFont="1" applyFill="1" applyBorder="1" applyAlignment="1">
      <alignment horizontal="center"/>
    </xf>
    <xf numFmtId="0" fontId="2" fillId="0" borderId="0" xfId="0" applyFont="1"/>
    <xf numFmtId="2" fontId="3" fillId="0" borderId="0" xfId="0" applyNumberFormat="1" applyFont="1"/>
    <xf numFmtId="0" fontId="2" fillId="0" borderId="3" xfId="0" applyFont="1" applyBorder="1"/>
    <xf numFmtId="2" fontId="3" fillId="0" borderId="3" xfId="0" applyNumberFormat="1" applyFont="1" applyBorder="1"/>
    <xf numFmtId="0" fontId="1" fillId="0" borderId="0" xfId="0" applyFont="1"/>
    <xf numFmtId="0" fontId="1" fillId="0" borderId="3" xfId="0" applyFont="1" applyBorder="1"/>
    <xf numFmtId="2" fontId="0" fillId="0" borderId="3" xfId="0" applyNumberFormat="1" applyBorder="1"/>
    <xf numFmtId="165" fontId="0" fillId="0" borderId="3" xfId="0" applyNumberFormat="1" applyBorder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0" xfId="0" applyFont="1" applyFill="1"/>
    <xf numFmtId="0" fontId="0" fillId="3" borderId="0" xfId="0" applyFill="1"/>
    <xf numFmtId="2" fontId="0" fillId="3" borderId="0" xfId="1" applyNumberFormat="1" applyFont="1" applyFill="1"/>
    <xf numFmtId="0" fontId="0" fillId="0" borderId="3" xfId="0" applyBorder="1"/>
    <xf numFmtId="0" fontId="0" fillId="0" borderId="1" xfId="0" applyBorder="1"/>
    <xf numFmtId="9" fontId="0" fillId="0" borderId="0" xfId="1" applyFont="1"/>
    <xf numFmtId="166" fontId="0" fillId="0" borderId="0" xfId="1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0" xfId="0" applyFont="1" applyFill="1"/>
    <xf numFmtId="2" fontId="2" fillId="3" borderId="0" xfId="0" applyNumberFormat="1" applyFont="1" applyFill="1"/>
    <xf numFmtId="167" fontId="0" fillId="0" borderId="3" xfId="0" applyNumberFormat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748145</xdr:colOff>
      <xdr:row>30</xdr:row>
      <xdr:rowOff>27709</xdr:rowOff>
    </xdr:from>
    <xdr:to>
      <xdr:col>19</xdr:col>
      <xdr:colOff>518172</xdr:colOff>
      <xdr:row>57</xdr:row>
      <xdr:rowOff>102952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9FF9945-73F5-ECD6-453A-B89521C4E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4319" y="5593622"/>
          <a:ext cx="10358514" cy="50845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889D7-F248-4C3B-B68C-D47001A5CC86}">
  <dimension ref="B2:V38"/>
  <sheetViews>
    <sheetView tabSelected="1" topLeftCell="A17" zoomScale="96" zoomScaleNormal="85" workbookViewId="0">
      <selection activeCell="B29" sqref="B29:L38"/>
    </sheetView>
  </sheetViews>
  <sheetFormatPr baseColWidth="10" defaultRowHeight="14.4" x14ac:dyDescent="0.3"/>
  <cols>
    <col min="1" max="1" width="11.5546875" style="16"/>
    <col min="2" max="2" width="5.5546875" style="16" bestFit="1" customWidth="1"/>
    <col min="3" max="4" width="18.6640625" style="16" bestFit="1" customWidth="1"/>
    <col min="5" max="5" width="16.44140625" style="16" bestFit="1" customWidth="1"/>
    <col min="6" max="6" width="20.5546875" style="16" bestFit="1" customWidth="1"/>
    <col min="7" max="7" width="20.88671875" style="16" bestFit="1" customWidth="1"/>
    <col min="8" max="8" width="12.77734375" style="16" bestFit="1" customWidth="1"/>
    <col min="9" max="9" width="12.6640625" style="16" bestFit="1" customWidth="1"/>
    <col min="10" max="10" width="23.44140625" style="16" bestFit="1" customWidth="1"/>
    <col min="11" max="11" width="15.6640625" style="16" bestFit="1" customWidth="1"/>
    <col min="12" max="12" width="24.88671875" style="16" bestFit="1" customWidth="1"/>
    <col min="13" max="13" width="13.5546875" style="16" bestFit="1" customWidth="1"/>
    <col min="14" max="14" width="17.88671875" style="16" bestFit="1" customWidth="1"/>
    <col min="15" max="16" width="19.109375" style="16" bestFit="1" customWidth="1"/>
    <col min="17" max="17" width="19" style="16" bestFit="1" customWidth="1"/>
    <col min="18" max="19" width="18.6640625" style="16" bestFit="1" customWidth="1"/>
    <col min="20" max="22" width="23.88671875" style="16" bestFit="1" customWidth="1"/>
    <col min="23" max="26" width="12" style="16" bestFit="1" customWidth="1"/>
    <col min="27" max="27" width="2" style="16" bestFit="1" customWidth="1"/>
    <col min="28" max="28" width="12" style="16" bestFit="1" customWidth="1"/>
    <col min="29" max="29" width="12.6640625" style="16" bestFit="1" customWidth="1"/>
    <col min="30" max="31" width="12" style="16" bestFit="1" customWidth="1"/>
    <col min="32" max="16384" width="11.5546875" style="16"/>
  </cols>
  <sheetData>
    <row r="2" spans="2:22" x14ac:dyDescent="0.3">
      <c r="B2" s="17" t="s">
        <v>0</v>
      </c>
      <c r="C2" s="17" t="s">
        <v>90</v>
      </c>
      <c r="D2" s="17" t="s">
        <v>97</v>
      </c>
      <c r="E2" s="17" t="s">
        <v>91</v>
      </c>
      <c r="F2" s="17" t="s">
        <v>1</v>
      </c>
      <c r="G2" s="17" t="s">
        <v>2</v>
      </c>
      <c r="H2" s="17" t="s">
        <v>3</v>
      </c>
      <c r="I2" s="17" t="s">
        <v>4</v>
      </c>
      <c r="J2" s="17" t="s">
        <v>5</v>
      </c>
      <c r="K2" s="17" t="s">
        <v>6</v>
      </c>
      <c r="L2" s="17" t="s">
        <v>7</v>
      </c>
    </row>
    <row r="3" spans="2:22" x14ac:dyDescent="0.3">
      <c r="B3" s="18">
        <v>500</v>
      </c>
      <c r="C3" s="18">
        <v>80.075236196655112</v>
      </c>
      <c r="D3" s="16">
        <v>6.0055119392946494</v>
      </c>
      <c r="E3" s="18">
        <v>44.34017218770186</v>
      </c>
      <c r="F3" s="18">
        <v>21.690058820630004</v>
      </c>
      <c r="G3" s="18">
        <v>41.643616555414731</v>
      </c>
      <c r="H3" s="18">
        <v>18.848834947929483</v>
      </c>
      <c r="I3" s="18">
        <v>18.436180391626912</v>
      </c>
      <c r="J3" s="18">
        <v>81.282485322238983</v>
      </c>
      <c r="K3" s="18">
        <v>34.043287382392478</v>
      </c>
      <c r="L3" s="16">
        <v>304.23405873081123</v>
      </c>
    </row>
    <row r="4" spans="2:22" x14ac:dyDescent="0.3">
      <c r="B4" s="16">
        <v>550</v>
      </c>
      <c r="C4" s="16">
        <v>90.099760632232432</v>
      </c>
      <c r="D4" s="16">
        <v>6.2578927853276172</v>
      </c>
      <c r="E4" s="16">
        <v>46.840775673371354</v>
      </c>
      <c r="F4" s="16">
        <v>22.549497593185308</v>
      </c>
      <c r="G4" s="16">
        <v>44.193547794198203</v>
      </c>
      <c r="H4" s="16">
        <v>18.569282786768131</v>
      </c>
      <c r="I4" s="16">
        <v>18.162225255928078</v>
      </c>
      <c r="J4" s="16">
        <v>81.615235916991878</v>
      </c>
      <c r="K4" s="16">
        <v>34.946784744116158</v>
      </c>
      <c r="L4" s="16">
        <v>312.30832800810623</v>
      </c>
    </row>
    <row r="5" spans="2:22" x14ac:dyDescent="0.3">
      <c r="B5" s="16">
        <v>600</v>
      </c>
      <c r="C5" s="16">
        <v>99.981173839880356</v>
      </c>
      <c r="D5" s="16">
        <v>6.5130325416162291</v>
      </c>
      <c r="E5" s="16">
        <v>49.011736387407424</v>
      </c>
      <c r="F5" s="16">
        <v>23.108230796268519</v>
      </c>
      <c r="G5" s="16">
        <v>46.40527790743959</v>
      </c>
      <c r="H5" s="16">
        <v>18.303596533693334</v>
      </c>
      <c r="I5" s="16">
        <v>17.901905990987522</v>
      </c>
      <c r="J5" s="16">
        <v>81.979569400405978</v>
      </c>
      <c r="K5" s="16">
        <v>35.850258773202164</v>
      </c>
      <c r="L5" s="16">
        <v>320.38238876902079</v>
      </c>
    </row>
    <row r="6" spans="2:22" x14ac:dyDescent="0.3">
      <c r="B6" s="16">
        <v>650</v>
      </c>
      <c r="C6" s="16">
        <v>109.74867541385149</v>
      </c>
      <c r="D6" s="16">
        <v>6.7708180854270879</v>
      </c>
      <c r="E6" s="16">
        <v>50.916680099072742</v>
      </c>
      <c r="F6" s="16">
        <v>23.390875924002081</v>
      </c>
      <c r="G6" s="16">
        <v>48.344297742800649</v>
      </c>
      <c r="H6" s="16">
        <v>18.05106665890689</v>
      </c>
      <c r="I6" s="16">
        <v>17.654523062467341</v>
      </c>
      <c r="J6" s="16">
        <v>82.376196854637726</v>
      </c>
      <c r="K6" s="16">
        <v>36.75418667446764</v>
      </c>
      <c r="L6" s="16">
        <v>328.46050564160743</v>
      </c>
    </row>
    <row r="7" spans="2:22" x14ac:dyDescent="0.3">
      <c r="B7" s="16">
        <v>700</v>
      </c>
      <c r="C7" s="16">
        <v>119.42386413622707</v>
      </c>
      <c r="D7" s="16">
        <v>7.0310718568077251</v>
      </c>
      <c r="E7" s="16">
        <v>52.603052767831237</v>
      </c>
      <c r="F7" s="16">
        <v>23.411885843230223</v>
      </c>
      <c r="G7" s="16">
        <v>50.05943609903629</v>
      </c>
      <c r="H7" s="16">
        <v>17.811094265141449</v>
      </c>
      <c r="I7" s="16">
        <v>17.419485786127346</v>
      </c>
      <c r="J7" s="16">
        <v>82.805678998061069</v>
      </c>
      <c r="K7" s="16">
        <v>37.658813728603796</v>
      </c>
      <c r="L7" s="16">
        <v>336.54487062158535</v>
      </c>
    </row>
    <row r="8" spans="2:22" x14ac:dyDescent="0.3">
      <c r="B8" s="16">
        <v>750</v>
      </c>
      <c r="C8" s="16">
        <v>129.02311588889785</v>
      </c>
      <c r="D8" s="16">
        <v>7.2935813459894892</v>
      </c>
      <c r="E8" s="16">
        <v>54.107163791298788</v>
      </c>
      <c r="F8" s="16">
        <v>23.178501568199025</v>
      </c>
      <c r="G8" s="16">
        <v>51.588052318084642</v>
      </c>
      <c r="H8" s="16">
        <v>17.583144089105325</v>
      </c>
      <c r="I8" s="16">
        <v>17.196266196092065</v>
      </c>
      <c r="J8" s="16">
        <v>83.268442408655289</v>
      </c>
      <c r="K8" s="16">
        <v>38.564261866794908</v>
      </c>
      <c r="L8" s="16">
        <v>344.63657336926462</v>
      </c>
    </row>
    <row r="9" spans="2:22" x14ac:dyDescent="0.3">
      <c r="B9" s="16">
        <v>800.00000000000011</v>
      </c>
      <c r="C9" s="16">
        <v>138.55913638137596</v>
      </c>
      <c r="D9" s="16">
        <v>7.5581181135135624</v>
      </c>
      <c r="E9" s="16">
        <v>55.457402293257886</v>
      </c>
      <c r="F9" s="16">
        <v>22.692635964018898</v>
      </c>
      <c r="G9" s="16">
        <v>52.95934806076604</v>
      </c>
      <c r="H9" s="16">
        <v>17.366718295380426</v>
      </c>
      <c r="I9" s="16">
        <v>16.984373320199506</v>
      </c>
      <c r="J9" s="16">
        <v>83.76479494046032</v>
      </c>
      <c r="K9" s="16">
        <v>39.470595213279822</v>
      </c>
      <c r="L9" s="16">
        <v>352.73618694262348</v>
      </c>
    </row>
    <row r="10" spans="2:22" x14ac:dyDescent="0.3">
      <c r="B10" s="16">
        <v>850.00000000000011</v>
      </c>
      <c r="C10" s="16">
        <v>148.04185834627998</v>
      </c>
      <c r="D10" s="16">
        <v>7.8244489884889461</v>
      </c>
      <c r="E10" s="16">
        <v>56.676345196994049</v>
      </c>
      <c r="F10" s="16">
        <v>21.952112320563913</v>
      </c>
      <c r="G10" s="16">
        <v>54.19653780739376</v>
      </c>
      <c r="H10" s="16">
        <v>17.161343126444446</v>
      </c>
      <c r="I10" s="16">
        <v>16.783340068289903</v>
      </c>
      <c r="J10" s="16">
        <v>84.294937842312663</v>
      </c>
      <c r="K10" s="16">
        <v>40.377855361703119</v>
      </c>
      <c r="L10" s="16">
        <v>360.84408305086771</v>
      </c>
    </row>
    <row r="11" spans="2:22" x14ac:dyDescent="0.3">
      <c r="B11" s="19">
        <v>900.00000000000011</v>
      </c>
      <c r="C11" s="19">
        <v>157.47922554852343</v>
      </c>
      <c r="D11" s="35">
        <v>8.0923433209245097</v>
      </c>
      <c r="E11" s="19">
        <v>57.782231137481588</v>
      </c>
      <c r="F11" s="19">
        <v>20.951528074973265</v>
      </c>
      <c r="G11" s="19">
        <v>55.318367601752492</v>
      </c>
      <c r="H11" s="19">
        <v>16.9665618977976</v>
      </c>
      <c r="I11" s="19">
        <v>16.592716345658207</v>
      </c>
      <c r="J11" s="19">
        <v>84.858977086928178</v>
      </c>
      <c r="K11" s="19">
        <v>41.286081792389979</v>
      </c>
      <c r="L11" s="19">
        <v>368.96061451713769</v>
      </c>
    </row>
    <row r="12" spans="2:22" x14ac:dyDescent="0.3">
      <c r="B12" s="16">
        <v>800.00000000000011</v>
      </c>
      <c r="C12" s="16">
        <v>138.55913638137596</v>
      </c>
      <c r="D12" s="16">
        <v>7.5581181135135624</v>
      </c>
      <c r="E12" s="16">
        <v>55.457402293257886</v>
      </c>
      <c r="F12" s="16">
        <v>22.692635964018898</v>
      </c>
      <c r="G12" s="16">
        <v>52.95934806076604</v>
      </c>
      <c r="H12" s="16">
        <v>17.366718295380426</v>
      </c>
      <c r="I12" s="16">
        <v>16.984373320199506</v>
      </c>
      <c r="J12" s="16">
        <v>83.76479494046032</v>
      </c>
      <c r="K12" s="16">
        <v>39.470595213279822</v>
      </c>
      <c r="L12" s="16">
        <v>352.73618694262348</v>
      </c>
    </row>
    <row r="15" spans="2:22" x14ac:dyDescent="0.3">
      <c r="B15" s="17" t="s">
        <v>0</v>
      </c>
      <c r="C15" s="17" t="s">
        <v>8</v>
      </c>
      <c r="D15" s="17" t="s">
        <v>9</v>
      </c>
      <c r="E15" s="17" t="s">
        <v>10</v>
      </c>
      <c r="F15" s="17" t="s">
        <v>11</v>
      </c>
      <c r="G15" s="17" t="s">
        <v>92</v>
      </c>
      <c r="H15" s="17" t="s">
        <v>12</v>
      </c>
      <c r="I15" s="17" t="s">
        <v>13</v>
      </c>
      <c r="J15" s="17" t="s">
        <v>93</v>
      </c>
      <c r="K15" s="17" t="s">
        <v>14</v>
      </c>
      <c r="L15" s="17" t="s">
        <v>94</v>
      </c>
      <c r="M15" s="17" t="s">
        <v>15</v>
      </c>
      <c r="N15" s="17" t="s">
        <v>16</v>
      </c>
      <c r="O15" s="17" t="s">
        <v>17</v>
      </c>
      <c r="P15" s="17" t="s">
        <v>18</v>
      </c>
      <c r="Q15" s="17" t="s">
        <v>95</v>
      </c>
      <c r="R15" s="17" t="s">
        <v>19</v>
      </c>
      <c r="S15" s="17" t="s">
        <v>96</v>
      </c>
      <c r="T15" s="17" t="s">
        <v>20</v>
      </c>
      <c r="U15" s="17" t="s">
        <v>121</v>
      </c>
      <c r="V15" s="17" t="s">
        <v>256</v>
      </c>
    </row>
    <row r="16" spans="2:22" x14ac:dyDescent="0.3">
      <c r="B16" s="16">
        <v>500</v>
      </c>
      <c r="C16" s="16">
        <v>2948.5614292537944</v>
      </c>
      <c r="D16" s="16">
        <v>1356.4262301173844</v>
      </c>
      <c r="E16" s="16">
        <v>1511.9146157877444</v>
      </c>
      <c r="F16" s="16">
        <v>2771.3026251072883</v>
      </c>
      <c r="G16" s="16">
        <v>898.27603128406031</v>
      </c>
      <c r="H16" s="16">
        <v>340.1774796640384</v>
      </c>
      <c r="I16" s="16">
        <v>3028.1716564914286</v>
      </c>
      <c r="J16" s="16">
        <v>11794.615416517447</v>
      </c>
      <c r="K16" s="16">
        <v>138639.03314567471</v>
      </c>
      <c r="L16" s="16">
        <v>89329.858804423799</v>
      </c>
      <c r="M16" s="16">
        <v>419.54531737997803</v>
      </c>
      <c r="N16" s="16">
        <v>255.87107705551512</v>
      </c>
      <c r="O16" s="16">
        <v>4968.0468857744854</v>
      </c>
      <c r="P16" s="16">
        <v>2234.5014182525947</v>
      </c>
      <c r="Q16" s="16">
        <v>2.3471414600463723</v>
      </c>
      <c r="R16" s="16">
        <v>478.40909329018001</v>
      </c>
      <c r="S16" s="16">
        <v>5313.959773625852</v>
      </c>
      <c r="T16" s="16">
        <v>346597.58286418673</v>
      </c>
      <c r="U16" s="16">
        <v>4894.5992563087448</v>
      </c>
      <c r="V16" s="16">
        <v>229.65614489043224</v>
      </c>
    </row>
    <row r="17" spans="2:22" x14ac:dyDescent="0.3">
      <c r="B17" s="16">
        <v>550</v>
      </c>
      <c r="C17" s="16">
        <v>2978.2296698241607</v>
      </c>
      <c r="D17" s="16">
        <v>1318.6805418472477</v>
      </c>
      <c r="E17" s="16">
        <v>1521.902528703846</v>
      </c>
      <c r="F17" s="16">
        <v>2783.7767920301558</v>
      </c>
      <c r="G17" s="16">
        <v>929.90885718412142</v>
      </c>
      <c r="H17" s="16">
        <v>805.40884684346383</v>
      </c>
      <c r="I17" s="16">
        <v>3649.5425807604643</v>
      </c>
      <c r="J17" s="16">
        <v>15916.416778681467</v>
      </c>
      <c r="K17" s="16">
        <v>150741.7278546278</v>
      </c>
      <c r="L17" s="16">
        <v>91657.429244218394</v>
      </c>
      <c r="M17" s="16">
        <v>424.30028424486284</v>
      </c>
      <c r="N17" s="16">
        <v>259.97082824934603</v>
      </c>
      <c r="O17" s="16">
        <v>5250.598053142633</v>
      </c>
      <c r="P17" s="16">
        <v>2317.2407129887442</v>
      </c>
      <c r="Q17" s="16">
        <v>2.4296557049723959</v>
      </c>
      <c r="R17" s="16">
        <v>496.59664099516397</v>
      </c>
      <c r="S17" s="16">
        <v>5434.8419212917788</v>
      </c>
      <c r="T17" s="16">
        <v>376854.31963656942</v>
      </c>
      <c r="U17" s="16">
        <v>5117.5161451365711</v>
      </c>
      <c r="V17" s="16">
        <v>263.82115663647943</v>
      </c>
    </row>
    <row r="18" spans="2:22" x14ac:dyDescent="0.3">
      <c r="B18" s="16">
        <v>600</v>
      </c>
      <c r="C18" s="16">
        <v>3007.2656005696876</v>
      </c>
      <c r="D18" s="16">
        <v>1281.507723530028</v>
      </c>
      <c r="E18" s="16">
        <v>1528.99071995233</v>
      </c>
      <c r="F18" s="16">
        <v>2792.4530756981671</v>
      </c>
      <c r="G18" s="16">
        <v>961.45439022993946</v>
      </c>
      <c r="H18" s="16">
        <v>1320.1571327557904</v>
      </c>
      <c r="I18" s="16">
        <v>4297.0000918122378</v>
      </c>
      <c r="J18" s="16">
        <v>21237.887994432185</v>
      </c>
      <c r="K18" s="16">
        <v>163810.75957825704</v>
      </c>
      <c r="L18" s="16">
        <v>94289.610392787596</v>
      </c>
      <c r="M18" s="16">
        <v>429.56603158351845</v>
      </c>
      <c r="N18" s="16">
        <v>264.54602871728474</v>
      </c>
      <c r="O18" s="16">
        <v>5541.2107967023103</v>
      </c>
      <c r="P18" s="16">
        <v>2400.2346993936662</v>
      </c>
      <c r="Q18" s="16">
        <v>2.5119424181456744</v>
      </c>
      <c r="R18" s="16">
        <v>514.86231045387774</v>
      </c>
      <c r="S18" s="16">
        <v>5562.4758955544876</v>
      </c>
      <c r="T18" s="16">
        <v>409526.89894564264</v>
      </c>
      <c r="U18" s="16">
        <v>5343.1956951397678</v>
      </c>
      <c r="V18" s="16">
        <v>301.42798128774854</v>
      </c>
    </row>
    <row r="19" spans="2:22" x14ac:dyDescent="0.3">
      <c r="B19" s="16">
        <v>650</v>
      </c>
      <c r="C19" s="16">
        <v>3035.689357492201</v>
      </c>
      <c r="D19" s="16">
        <v>1244.8910840925203</v>
      </c>
      <c r="E19" s="16">
        <v>1533.9874970301762</v>
      </c>
      <c r="F19" s="16">
        <v>2798.4221022535266</v>
      </c>
      <c r="G19" s="16">
        <v>992.88992097665925</v>
      </c>
      <c r="H19" s="16">
        <v>1858.4739014316001</v>
      </c>
      <c r="I19" s="16">
        <v>4970.4374229533005</v>
      </c>
      <c r="J19" s="16">
        <v>28086.836717508984</v>
      </c>
      <c r="K19" s="16">
        <v>178143.89492497977</v>
      </c>
      <c r="L19" s="16">
        <v>97339.721439540212</v>
      </c>
      <c r="M19" s="16">
        <v>435.35791883841307</v>
      </c>
      <c r="N19" s="16">
        <v>269.61547467781907</v>
      </c>
      <c r="O19" s="16">
        <v>5839.8397993231993</v>
      </c>
      <c r="P19" s="16">
        <v>2483.4516812710835</v>
      </c>
      <c r="Q19" s="16">
        <v>2.5939432755638863</v>
      </c>
      <c r="R19" s="16">
        <v>533.19731150033078</v>
      </c>
      <c r="S19" s="16">
        <v>5697.2226437316767</v>
      </c>
      <c r="T19" s="16">
        <v>445359.73731244943</v>
      </c>
      <c r="U19" s="16">
        <v>5571.5094381309173</v>
      </c>
      <c r="V19" s="16">
        <v>342.66613614191135</v>
      </c>
    </row>
    <row r="20" spans="2:22" x14ac:dyDescent="0.3">
      <c r="B20" s="16">
        <v>700</v>
      </c>
      <c r="C20" s="16">
        <v>3063.5131841675043</v>
      </c>
      <c r="D20" s="16">
        <v>1208.8239449501671</v>
      </c>
      <c r="E20" s="16">
        <v>1537.4467368248106</v>
      </c>
      <c r="F20" s="16">
        <v>2802.440878422588</v>
      </c>
      <c r="G20" s="16">
        <v>1024.1858203605748</v>
      </c>
      <c r="H20" s="16">
        <v>2403.1475528596202</v>
      </c>
      <c r="I20" s="16">
        <v>5669.5500958230568</v>
      </c>
      <c r="J20" s="16">
        <v>36894.255484164853</v>
      </c>
      <c r="K20" s="16">
        <v>194120.04412755879</v>
      </c>
      <c r="L20" s="16">
        <v>100939.4296158151</v>
      </c>
      <c r="M20" s="16">
        <v>441.68980993911111</v>
      </c>
      <c r="N20" s="16">
        <v>275.19740001542647</v>
      </c>
      <c r="O20" s="16">
        <v>6146.3542966344639</v>
      </c>
      <c r="P20" s="16">
        <v>2566.841751524832</v>
      </c>
      <c r="Q20" s="16">
        <v>2.6755818790198247</v>
      </c>
      <c r="R20" s="16">
        <v>551.58861711889756</v>
      </c>
      <c r="S20" s="16">
        <v>5839.4015948747719</v>
      </c>
      <c r="T20" s="16">
        <v>485300.110318897</v>
      </c>
      <c r="U20" s="16">
        <v>5802.2720393783475</v>
      </c>
      <c r="V20" s="16">
        <v>387.71368616097209</v>
      </c>
    </row>
    <row r="21" spans="2:22" x14ac:dyDescent="0.3">
      <c r="B21" s="16">
        <v>750</v>
      </c>
      <c r="C21" s="16">
        <v>3090.7455465127828</v>
      </c>
      <c r="D21" s="16">
        <v>1173.3045407099946</v>
      </c>
      <c r="E21" s="16">
        <v>1539.7884766306952</v>
      </c>
      <c r="F21" s="16">
        <v>2805.018382007137</v>
      </c>
      <c r="G21" s="16">
        <v>1055.3088601388242</v>
      </c>
      <c r="H21" s="16">
        <v>2942.6310690947575</v>
      </c>
      <c r="I21" s="16">
        <v>6393.8950186234715</v>
      </c>
      <c r="J21" s="16">
        <v>48238.346125543401</v>
      </c>
      <c r="K21" s="16">
        <v>212238.23419605001</v>
      </c>
      <c r="L21" s="16">
        <v>105253.56004225269</v>
      </c>
      <c r="M21" s="16">
        <v>448.57424140040712</v>
      </c>
      <c r="N21" s="16">
        <v>281.30959256471084</v>
      </c>
      <c r="O21" s="16">
        <v>6460.5673761155404</v>
      </c>
      <c r="P21" s="16">
        <v>2650.3468586374765</v>
      </c>
      <c r="Q21" s="16">
        <v>2.7567742375495983</v>
      </c>
      <c r="R21" s="16">
        <v>570.02117006884941</v>
      </c>
      <c r="S21" s="16">
        <v>5989.2997160576833</v>
      </c>
      <c r="T21" s="16">
        <v>530595.58549012512</v>
      </c>
      <c r="U21" s="16">
        <v>6035.2672419376922</v>
      </c>
      <c r="V21" s="16">
        <v>436.73851125085787</v>
      </c>
    </row>
    <row r="22" spans="2:22" x14ac:dyDescent="0.3">
      <c r="B22" s="16">
        <v>800.00000000000011</v>
      </c>
      <c r="C22" s="16">
        <v>3117.3934843303709</v>
      </c>
      <c r="D22" s="16">
        <v>1138.33305276341</v>
      </c>
      <c r="E22" s="16">
        <v>1541.2694860114752</v>
      </c>
      <c r="F22" s="16">
        <v>2806.532548235491</v>
      </c>
      <c r="G22" s="16">
        <v>1086.2272208333268</v>
      </c>
      <c r="H22" s="16">
        <v>3469.1288051136653</v>
      </c>
      <c r="I22" s="16">
        <v>7142.9330882120803</v>
      </c>
      <c r="J22" s="16">
        <v>62913.606293226985</v>
      </c>
      <c r="K22" s="16">
        <v>233177.09736516071</v>
      </c>
      <c r="L22" s="16">
        <v>110500.43569183591</v>
      </c>
      <c r="M22" s="16">
        <v>456.02259338253077</v>
      </c>
      <c r="N22" s="16">
        <v>287.96951585660918</v>
      </c>
      <c r="O22" s="16">
        <v>6782.2557987781765</v>
      </c>
      <c r="P22" s="16">
        <v>2733.9070991328199</v>
      </c>
      <c r="Q22" s="16">
        <v>2.8374352800170817</v>
      </c>
      <c r="R22" s="16">
        <v>588.47927127187018</v>
      </c>
      <c r="S22" s="16">
        <v>6147.1777320041247</v>
      </c>
      <c r="T22" s="16">
        <v>582942.74341290176</v>
      </c>
      <c r="U22" s="16">
        <v>6270.2647481636777</v>
      </c>
      <c r="V22" s="16">
        <v>489.8963917659762</v>
      </c>
    </row>
    <row r="23" spans="2:22" x14ac:dyDescent="0.3">
      <c r="B23" s="16">
        <v>850.00000000000011</v>
      </c>
      <c r="C23" s="16">
        <v>3143.463834922105</v>
      </c>
      <c r="D23" s="16">
        <v>1103.9100202102625</v>
      </c>
      <c r="E23" s="16">
        <v>1542.1068241741657</v>
      </c>
      <c r="F23" s="16">
        <v>2807.2526540154367</v>
      </c>
      <c r="G23" s="16">
        <v>1116.9084826127057</v>
      </c>
      <c r="H23" s="16">
        <v>3977.3664473134559</v>
      </c>
      <c r="I23" s="16">
        <v>7916.0573066213656</v>
      </c>
      <c r="J23" s="16">
        <v>82043.236087615151</v>
      </c>
      <c r="K23" s="16">
        <v>257890.4091378501</v>
      </c>
      <c r="L23" s="16">
        <v>116982.91458223342</v>
      </c>
      <c r="M23" s="16">
        <v>464.04521749726689</v>
      </c>
      <c r="N23" s="16">
        <v>295.19439221965786</v>
      </c>
      <c r="O23" s="16">
        <v>7111.1725065719374</v>
      </c>
      <c r="P23" s="16">
        <v>2817.464265935208</v>
      </c>
      <c r="Q23" s="16">
        <v>2.9174825238960547</v>
      </c>
      <c r="R23" s="16">
        <v>606.94737559374551</v>
      </c>
      <c r="S23" s="16">
        <v>6313.2739658952842</v>
      </c>
      <c r="T23" s="16">
        <v>644726.02284462529</v>
      </c>
      <c r="U23" s="16">
        <v>6507.030266974225</v>
      </c>
      <c r="V23" s="16">
        <v>547.33450681593331</v>
      </c>
    </row>
    <row r="24" spans="2:22" x14ac:dyDescent="0.3">
      <c r="B24" s="19">
        <v>900.00000000000011</v>
      </c>
      <c r="C24" s="19">
        <v>3168.9638838626593</v>
      </c>
      <c r="D24" s="19">
        <v>1070.0354556951188</v>
      </c>
      <c r="E24" s="19">
        <v>1542.4567100955248</v>
      </c>
      <c r="F24" s="19">
        <v>2807.373846715212</v>
      </c>
      <c r="G24" s="19">
        <v>1147.3225668630778</v>
      </c>
      <c r="H24" s="19">
        <v>4463.8000501786591</v>
      </c>
      <c r="I24" s="19">
        <v>8712.6139107183735</v>
      </c>
      <c r="J24" s="19">
        <v>107270.29753288905</v>
      </c>
      <c r="K24" s="19">
        <v>287768.98644095648</v>
      </c>
      <c r="L24" s="19">
        <v>125140.03470369184</v>
      </c>
      <c r="M24" s="19">
        <v>472.65155422893099</v>
      </c>
      <c r="N24" s="19">
        <v>303.00127490721547</v>
      </c>
      <c r="O24" s="19">
        <v>7447.0553439995365</v>
      </c>
      <c r="P24" s="19">
        <v>2900.9640004602402</v>
      </c>
      <c r="Q24" s="19">
        <v>2.9968382791884323</v>
      </c>
      <c r="R24" s="19">
        <v>625.4105840642319</v>
      </c>
      <c r="S24" s="19">
        <v>6487.8072322372454</v>
      </c>
      <c r="T24" s="19">
        <v>719422.46610239113</v>
      </c>
      <c r="U24" s="19">
        <v>6745.3321001464137</v>
      </c>
      <c r="V24" s="19">
        <v>609.18953047120942</v>
      </c>
    </row>
    <row r="25" spans="2:22" x14ac:dyDescent="0.3">
      <c r="B25" s="16">
        <v>800.00000000000011</v>
      </c>
      <c r="C25" s="16">
        <v>3117.3934843303709</v>
      </c>
      <c r="D25" s="16">
        <v>1138.33305276341</v>
      </c>
      <c r="E25" s="16">
        <v>1541.2694860114752</v>
      </c>
      <c r="F25" s="16">
        <v>2806.532548235491</v>
      </c>
      <c r="G25" s="16">
        <v>1086.2272208333268</v>
      </c>
      <c r="H25" s="16">
        <v>3469.1288051136653</v>
      </c>
      <c r="I25" s="16">
        <v>7142.9330882120803</v>
      </c>
      <c r="J25" s="16">
        <v>62913.606293226985</v>
      </c>
      <c r="K25" s="16">
        <v>233177.09736516071</v>
      </c>
      <c r="L25" s="16">
        <v>110500.43569183591</v>
      </c>
      <c r="M25" s="16">
        <v>456.02259338253077</v>
      </c>
      <c r="N25" s="16">
        <v>287.96951585660918</v>
      </c>
      <c r="O25" s="16">
        <v>6782.2557987781765</v>
      </c>
      <c r="P25" s="16">
        <v>2733.9070991328199</v>
      </c>
      <c r="Q25" s="16">
        <v>2.8374352800170817</v>
      </c>
      <c r="R25" s="16">
        <v>588.47927127187018</v>
      </c>
      <c r="S25" s="16">
        <v>6147.1777320041247</v>
      </c>
      <c r="T25" s="16">
        <v>582942.74341290176</v>
      </c>
      <c r="U25" s="16">
        <v>6270.2647481636777</v>
      </c>
      <c r="V25" s="16">
        <v>489.8963917659762</v>
      </c>
    </row>
    <row r="28" spans="2:22" x14ac:dyDescent="0.3">
      <c r="B28" s="17" t="s">
        <v>0</v>
      </c>
      <c r="C28" s="17" t="s">
        <v>118</v>
      </c>
      <c r="D28" s="17" t="s">
        <v>119</v>
      </c>
      <c r="E28" s="17" t="s">
        <v>120</v>
      </c>
      <c r="F28" s="17" t="s">
        <v>123</v>
      </c>
      <c r="G28" s="17" t="s">
        <v>125</v>
      </c>
      <c r="H28" s="17" t="s">
        <v>124</v>
      </c>
      <c r="I28" s="17" t="s">
        <v>243</v>
      </c>
      <c r="J28" s="17" t="s">
        <v>244</v>
      </c>
      <c r="K28" s="17" t="s">
        <v>245</v>
      </c>
      <c r="L28" s="17" t="s">
        <v>21</v>
      </c>
    </row>
    <row r="29" spans="2:22" x14ac:dyDescent="0.3">
      <c r="B29" s="16">
        <v>500</v>
      </c>
      <c r="C29" s="16">
        <v>0.78242212526834742</v>
      </c>
      <c r="D29" s="16">
        <v>3.6072844787500737</v>
      </c>
      <c r="E29" s="16">
        <v>0.27721683884119408</v>
      </c>
      <c r="F29" s="16">
        <v>1.3066538362716359E-2</v>
      </c>
      <c r="G29" s="16">
        <v>0.76196895766048367</v>
      </c>
      <c r="H29" s="16">
        <v>21.757787473165259</v>
      </c>
      <c r="I29" s="27">
        <v>0.55495748925804933</v>
      </c>
      <c r="J29" s="27">
        <v>2.7011621800593781</v>
      </c>
      <c r="K29" s="28">
        <v>0.44440626816651491</v>
      </c>
      <c r="L29" s="16">
        <v>271185.61739746912</v>
      </c>
    </row>
    <row r="30" spans="2:22" x14ac:dyDescent="0.3">
      <c r="B30" s="16">
        <v>550</v>
      </c>
      <c r="C30" s="16">
        <v>0.77379109842151894</v>
      </c>
      <c r="D30" s="16">
        <v>3.4315225659633617</v>
      </c>
      <c r="E30" s="16">
        <v>0.29141583095469492</v>
      </c>
      <c r="F30" s="16">
        <v>1.2891638164129249E-2</v>
      </c>
      <c r="G30" s="16">
        <v>0.75238267777592416</v>
      </c>
      <c r="H30" s="16">
        <v>22.620890157848095</v>
      </c>
      <c r="I30" s="27">
        <v>0.49822687482478595</v>
      </c>
      <c r="J30" s="27">
        <v>2.4910433500341069</v>
      </c>
      <c r="K30" s="28">
        <v>0.39883087493488928</v>
      </c>
      <c r="L30" s="16">
        <v>291606.51793647528</v>
      </c>
    </row>
    <row r="31" spans="2:22" x14ac:dyDescent="0.3">
      <c r="B31" s="16">
        <v>600</v>
      </c>
      <c r="C31" s="16">
        <v>0.76816856453119997</v>
      </c>
      <c r="D31" s="16">
        <v>3.3242205831492848</v>
      </c>
      <c r="E31" s="16">
        <v>0.30082239580281539</v>
      </c>
      <c r="F31" s="16">
        <v>1.278733576486221E-2</v>
      </c>
      <c r="G31" s="16">
        <v>0.74666586327209783</v>
      </c>
      <c r="H31" s="16">
        <v>23.183143546879993</v>
      </c>
      <c r="I31" s="27">
        <v>0.45446714965679885</v>
      </c>
      <c r="J31" s="27">
        <v>2.3250397584419025</v>
      </c>
      <c r="K31" s="28">
        <v>0.36261809597367145</v>
      </c>
      <c r="L31" s="16">
        <v>314585.69009998813</v>
      </c>
    </row>
    <row r="32" spans="2:22" x14ac:dyDescent="0.3">
      <c r="B32" s="16">
        <v>650</v>
      </c>
      <c r="C32" s="16">
        <v>0.76530948809116828</v>
      </c>
      <c r="D32" s="16">
        <v>3.271829112247401</v>
      </c>
      <c r="E32" s="16">
        <v>0.30563943460760568</v>
      </c>
      <c r="F32" s="16">
        <v>1.2743286995087122E-2</v>
      </c>
      <c r="G32" s="16">
        <v>0.7442515502007252</v>
      </c>
      <c r="H32" s="16">
        <v>23.469051190883171</v>
      </c>
      <c r="I32" s="27">
        <v>0.41990490870863312</v>
      </c>
      <c r="J32" s="27">
        <v>2.1903670853712032</v>
      </c>
      <c r="K32" s="28">
        <v>0.33308227081863279</v>
      </c>
      <c r="L32" s="16">
        <v>340838.03257900785</v>
      </c>
    </row>
    <row r="33" spans="2:12" x14ac:dyDescent="0.3">
      <c r="B33" s="16">
        <v>700</v>
      </c>
      <c r="C33" s="16">
        <v>0.76507062462510711</v>
      </c>
      <c r="D33" s="16">
        <v>3.2678726940159533</v>
      </c>
      <c r="E33" s="16">
        <v>0.30600947271635609</v>
      </c>
      <c r="F33" s="16">
        <v>1.2760809080769826E-2</v>
      </c>
      <c r="G33" s="16">
        <v>0.74521193571699418</v>
      </c>
      <c r="H33" s="16">
        <v>23.49293753748929</v>
      </c>
      <c r="I33" s="27">
        <v>0.39220717719614501</v>
      </c>
      <c r="J33" s="27">
        <v>2.0787757296949785</v>
      </c>
      <c r="K33" s="28">
        <v>0.30848872359028245</v>
      </c>
      <c r="L33" s="16">
        <v>371288.85853231192</v>
      </c>
    </row>
    <row r="34" spans="2:12" x14ac:dyDescent="0.3">
      <c r="B34" s="16">
        <v>750</v>
      </c>
      <c r="C34" s="16">
        <v>0.76738100799023989</v>
      </c>
      <c r="D34" s="16">
        <v>3.3107446818006947</v>
      </c>
      <c r="E34" s="16">
        <v>0.30204684930766268</v>
      </c>
      <c r="F34" s="16">
        <v>1.2855676451430006E-2</v>
      </c>
      <c r="G34" s="16">
        <v>0.75041161630287867</v>
      </c>
      <c r="H34" s="16">
        <v>23.261899200976021</v>
      </c>
      <c r="I34" s="27">
        <v>0.36988412923629177</v>
      </c>
      <c r="J34" s="27">
        <v>1.9846913920253857</v>
      </c>
      <c r="K34" s="28">
        <v>0.28766394159577441</v>
      </c>
      <c r="L34" s="16">
        <v>407168.97522858367</v>
      </c>
    </row>
    <row r="35" spans="2:12" x14ac:dyDescent="0.3">
      <c r="B35" s="16">
        <v>800.00000000000011</v>
      </c>
      <c r="C35" s="16">
        <v>0.77222313223091421</v>
      </c>
      <c r="D35" s="16">
        <v>3.4029679648293816</v>
      </c>
      <c r="E35" s="16">
        <v>0.29386112662101954</v>
      </c>
      <c r="F35" s="16">
        <v>1.3075242228025856E-2</v>
      </c>
      <c r="G35" s="16">
        <v>0.76244601651809718</v>
      </c>
      <c r="H35" s="16">
        <v>22.777686776908567</v>
      </c>
      <c r="I35" s="27">
        <v>0.35198545686127924</v>
      </c>
      <c r="J35" s="27">
        <v>1.904205650074752</v>
      </c>
      <c r="K35" s="28">
        <v>0.26978389328349178</v>
      </c>
      <c r="L35" s="16">
        <v>450161.87122959318</v>
      </c>
    </row>
    <row r="36" spans="2:12" x14ac:dyDescent="0.3">
      <c r="B36" s="16">
        <v>850.00000000000011</v>
      </c>
      <c r="C36" s="16">
        <v>0.77962057221306336</v>
      </c>
      <c r="D36" s="16">
        <v>3.5514603826199638</v>
      </c>
      <c r="E36" s="16">
        <v>0.28157430810541256</v>
      </c>
      <c r="F36" s="16">
        <v>1.3578355310744016E-2</v>
      </c>
      <c r="G36" s="16">
        <v>0.79002164458187951</v>
      </c>
      <c r="H36" s="16">
        <v>22.037942778693676</v>
      </c>
      <c r="I36" s="28">
        <v>0.33795246909963766</v>
      </c>
      <c r="J36" s="28">
        <v>1.834493272206426</v>
      </c>
      <c r="K36" s="28">
        <v>0.25425185524575955</v>
      </c>
      <c r="L36" s="16">
        <v>502641.67085077928</v>
      </c>
    </row>
    <row r="37" spans="2:12" x14ac:dyDescent="0.3">
      <c r="B37" s="19">
        <v>900.00000000000011</v>
      </c>
      <c r="C37" s="19">
        <v>0.78962936354720115</v>
      </c>
      <c r="D37" s="16">
        <v>3.7688390112720156</v>
      </c>
      <c r="E37" s="16">
        <v>0.26533370011538154</v>
      </c>
      <c r="F37" s="16">
        <v>1.5671120364137446E-2</v>
      </c>
      <c r="G37" s="16">
        <v>0.90472609715837349</v>
      </c>
      <c r="H37" s="16">
        <v>21.037063645279886</v>
      </c>
      <c r="I37" s="28">
        <v>0.32766989951505937</v>
      </c>
      <c r="J37" s="28">
        <v>1.7734603234489266</v>
      </c>
      <c r="K37" s="28">
        <v>0.24062457505250273</v>
      </c>
      <c r="L37" s="16">
        <v>568077.10402998899</v>
      </c>
    </row>
    <row r="38" spans="2:12" x14ac:dyDescent="0.3">
      <c r="B38" s="16">
        <v>800.00000000000011</v>
      </c>
      <c r="C38" s="16">
        <v>0.77222313223091421</v>
      </c>
      <c r="D38" s="18">
        <v>3.4029679648293816</v>
      </c>
      <c r="E38" s="18">
        <v>0.29386112662101954</v>
      </c>
      <c r="F38" s="18">
        <v>1.3075242228025856E-2</v>
      </c>
      <c r="G38" s="18">
        <v>0.76244601651809718</v>
      </c>
      <c r="H38" s="18">
        <v>22.777686776908567</v>
      </c>
      <c r="I38" s="29">
        <v>0.35198545686127924</v>
      </c>
      <c r="J38" s="29">
        <v>1.904205650074752</v>
      </c>
      <c r="K38" s="29">
        <v>0.26978389328349178</v>
      </c>
      <c r="L38" s="16">
        <v>450161.87122959318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8F8E6-609F-4748-8A52-08E74E409D1F}">
  <dimension ref="B2:V34"/>
  <sheetViews>
    <sheetView topLeftCell="A17" workbookViewId="0">
      <selection activeCell="B29" sqref="B29:L34"/>
    </sheetView>
  </sheetViews>
  <sheetFormatPr baseColWidth="10" defaultRowHeight="14.4" x14ac:dyDescent="0.3"/>
  <cols>
    <col min="1" max="9" width="11.5546875" style="16"/>
    <col min="10" max="10" width="15" style="16" customWidth="1"/>
    <col min="11" max="16384" width="11.5546875" style="16"/>
  </cols>
  <sheetData>
    <row r="2" spans="2:22" x14ac:dyDescent="0.3">
      <c r="B2" s="17" t="s">
        <v>240</v>
      </c>
      <c r="C2" s="17" t="s">
        <v>90</v>
      </c>
      <c r="D2" s="17" t="s">
        <v>97</v>
      </c>
      <c r="E2" s="17" t="s">
        <v>91</v>
      </c>
      <c r="F2" s="17" t="s">
        <v>1</v>
      </c>
      <c r="G2" s="17" t="s">
        <v>2</v>
      </c>
      <c r="H2" s="17" t="s">
        <v>3</v>
      </c>
      <c r="I2" s="17" t="s">
        <v>4</v>
      </c>
      <c r="J2" s="17" t="s">
        <v>5</v>
      </c>
      <c r="K2" s="17" t="s">
        <v>6</v>
      </c>
      <c r="L2" s="17" t="s">
        <v>7</v>
      </c>
    </row>
    <row r="3" spans="2:22" x14ac:dyDescent="0.3">
      <c r="B3" s="16">
        <v>2.5</v>
      </c>
      <c r="C3" s="16">
        <v>148.47875374177946</v>
      </c>
      <c r="D3" s="16">
        <v>7.0460959203304396</v>
      </c>
      <c r="E3" s="16">
        <v>57.084544319769137</v>
      </c>
      <c r="F3" s="16">
        <v>20.777443537420119</v>
      </c>
      <c r="G3" s="16">
        <v>54.858272297545774</v>
      </c>
      <c r="H3" s="16">
        <v>17.761735672472536</v>
      </c>
      <c r="I3" s="16">
        <v>17.370675747296715</v>
      </c>
      <c r="J3" s="16">
        <v>82.316245968108603</v>
      </c>
      <c r="K3" s="16">
        <v>37.633341482190204</v>
      </c>
      <c r="L3" s="16">
        <v>336.31723323673612</v>
      </c>
    </row>
    <row r="4" spans="2:22" x14ac:dyDescent="0.3">
      <c r="B4" s="16">
        <v>2.7</v>
      </c>
      <c r="C4" s="16">
        <v>156.07764404148372</v>
      </c>
      <c r="D4" s="16">
        <v>7.9400319410870903</v>
      </c>
      <c r="E4" s="16">
        <v>57.697069284918236</v>
      </c>
      <c r="F4" s="16">
        <v>20.931122887739914</v>
      </c>
      <c r="G4" s="16">
        <v>55.264433674005062</v>
      </c>
      <c r="H4" s="16">
        <v>17.067449346516845</v>
      </c>
      <c r="I4" s="16">
        <v>16.691333905799326</v>
      </c>
      <c r="J4" s="16">
        <v>84.40849039724651</v>
      </c>
      <c r="K4" s="16">
        <v>40.749675684056633</v>
      </c>
      <c r="L4" s="16">
        <v>364.16692330767307</v>
      </c>
    </row>
    <row r="5" spans="2:22" x14ac:dyDescent="0.3">
      <c r="B5" s="16">
        <v>2.9</v>
      </c>
      <c r="C5" s="16">
        <v>162.75131129996333</v>
      </c>
      <c r="D5" s="16">
        <v>8.6348397336684144</v>
      </c>
      <c r="E5" s="16">
        <v>58.036241121665519</v>
      </c>
      <c r="F5" s="16">
        <v>21.009363217890819</v>
      </c>
      <c r="G5" s="16">
        <v>55.471253223051519</v>
      </c>
      <c r="H5" s="16">
        <v>16.644428995114723</v>
      </c>
      <c r="I5" s="16">
        <v>16.278080188040537</v>
      </c>
      <c r="J5" s="16">
        <v>86.6984682173848</v>
      </c>
      <c r="K5" s="16">
        <v>43.218937629596283</v>
      </c>
      <c r="L5" s="16">
        <v>386.233933914575</v>
      </c>
    </row>
    <row r="6" spans="2:22" x14ac:dyDescent="0.3">
      <c r="B6" s="16">
        <v>3.1</v>
      </c>
      <c r="C6" s="16">
        <v>168.68204688771863</v>
      </c>
      <c r="D6" s="16">
        <v>9.1992492869705451</v>
      </c>
      <c r="E6" s="16">
        <v>58.210891042459892</v>
      </c>
      <c r="F6" s="16">
        <v>21.04199533313205</v>
      </c>
      <c r="G6" s="16">
        <v>55.557569257932535</v>
      </c>
      <c r="H6" s="16">
        <v>16.366457101782501</v>
      </c>
      <c r="I6" s="16">
        <v>16.007011189269914</v>
      </c>
      <c r="J6" s="16">
        <v>89.014517329761588</v>
      </c>
      <c r="K6" s="16">
        <v>45.277885494100374</v>
      </c>
      <c r="L6" s="16">
        <v>404.63409775589656</v>
      </c>
    </row>
    <row r="7" spans="2:22" x14ac:dyDescent="0.3">
      <c r="B7" s="16">
        <v>3.3</v>
      </c>
      <c r="C7" s="16">
        <v>173.99251938127557</v>
      </c>
      <c r="D7" s="16">
        <v>9.6764030259118439</v>
      </c>
      <c r="E7" s="16">
        <v>58.279337866454064</v>
      </c>
      <c r="F7" s="16">
        <v>21.044437590006492</v>
      </c>
      <c r="G7" s="16">
        <v>55.564132067774985</v>
      </c>
      <c r="H7" s="16">
        <v>16.172669607570381</v>
      </c>
      <c r="I7" s="16">
        <v>15.818421386676986</v>
      </c>
      <c r="J7" s="16">
        <v>91.299177192676552</v>
      </c>
      <c r="K7" s="16">
        <v>47.066082002986029</v>
      </c>
      <c r="L7" s="16">
        <v>420.61464263088794</v>
      </c>
    </row>
    <row r="8" spans="2:22" x14ac:dyDescent="0.3">
      <c r="B8" s="16">
        <v>3.5</v>
      </c>
      <c r="C8" s="16">
        <v>178.77612677578253</v>
      </c>
      <c r="D8" s="16">
        <v>10.092101088076173</v>
      </c>
      <c r="E8" s="16">
        <v>58.275613945900197</v>
      </c>
      <c r="F8" s="16">
        <v>21.025833603341166</v>
      </c>
      <c r="G8" s="16">
        <v>55.515104462653355</v>
      </c>
      <c r="H8" s="16">
        <v>16.031740671705105</v>
      </c>
      <c r="I8" s="16">
        <v>15.681594954806616</v>
      </c>
      <c r="J8" s="16">
        <v>93.532298322480699</v>
      </c>
      <c r="K8" s="16">
        <v>48.664309641923587</v>
      </c>
      <c r="L8" s="16">
        <v>434.8974959848569</v>
      </c>
    </row>
    <row r="15" spans="2:22" x14ac:dyDescent="0.3">
      <c r="B15" s="17" t="s">
        <v>240</v>
      </c>
      <c r="C15" s="17" t="s">
        <v>8</v>
      </c>
      <c r="D15" s="17" t="s">
        <v>9</v>
      </c>
      <c r="E15" s="17" t="s">
        <v>10</v>
      </c>
      <c r="F15" s="17" t="s">
        <v>11</v>
      </c>
      <c r="G15" s="17" t="s">
        <v>92</v>
      </c>
      <c r="H15" s="17" t="s">
        <v>12</v>
      </c>
      <c r="I15" s="17" t="s">
        <v>13</v>
      </c>
      <c r="J15" s="17" t="s">
        <v>93</v>
      </c>
      <c r="K15" s="17" t="s">
        <v>14</v>
      </c>
      <c r="L15" s="17" t="s">
        <v>94</v>
      </c>
      <c r="M15" s="17" t="s">
        <v>15</v>
      </c>
      <c r="N15" s="17" t="s">
        <v>16</v>
      </c>
      <c r="O15" s="17" t="s">
        <v>17</v>
      </c>
      <c r="P15" s="17" t="s">
        <v>18</v>
      </c>
      <c r="Q15" s="17" t="s">
        <v>95</v>
      </c>
      <c r="R15" s="17" t="s">
        <v>19</v>
      </c>
      <c r="S15" s="17" t="s">
        <v>96</v>
      </c>
      <c r="T15" s="17" t="s">
        <v>20</v>
      </c>
      <c r="U15" s="17" t="s">
        <v>121</v>
      </c>
      <c r="V15" s="17" t="s">
        <v>21</v>
      </c>
    </row>
    <row r="16" spans="2:22" x14ac:dyDescent="0.3">
      <c r="B16" s="16">
        <v>2.5</v>
      </c>
      <c r="C16" s="16">
        <v>2664.8478767473252</v>
      </c>
      <c r="D16" s="16">
        <v>986.37006924873401</v>
      </c>
      <c r="E16" s="16">
        <v>1542.4567100955248</v>
      </c>
      <c r="F16" s="16">
        <v>2398.8101530183258</v>
      </c>
      <c r="G16" s="16">
        <v>1041.3468841175195</v>
      </c>
      <c r="H16" s="16">
        <v>6947.6550741795809</v>
      </c>
      <c r="I16" s="16">
        <v>9249.2997745483663</v>
      </c>
      <c r="J16" s="16">
        <v>102375.56157213112</v>
      </c>
      <c r="K16" s="16">
        <v>274638.10828811495</v>
      </c>
      <c r="L16" s="16">
        <v>119161.08401865959</v>
      </c>
      <c r="M16" s="16">
        <v>430.56666413791532</v>
      </c>
      <c r="N16" s="16">
        <v>263.71291568172506</v>
      </c>
      <c r="O16" s="16">
        <v>6046.2345139607469</v>
      </c>
      <c r="P16" s="16">
        <v>2598.8390560364678</v>
      </c>
      <c r="Q16" s="16">
        <v>2.7206981667653416</v>
      </c>
      <c r="R16" s="16">
        <v>557.37419969541145</v>
      </c>
      <c r="S16" s="16">
        <v>6888.6844784927525</v>
      </c>
      <c r="T16" s="16">
        <v>686595.27072028746</v>
      </c>
      <c r="U16" s="16">
        <v>5818.0961910909264</v>
      </c>
      <c r="V16" s="16">
        <v>320.92719452954594</v>
      </c>
    </row>
    <row r="17" spans="2:22" x14ac:dyDescent="0.3">
      <c r="B17" s="16">
        <v>2.7</v>
      </c>
      <c r="C17" s="16">
        <v>3087.3746791042909</v>
      </c>
      <c r="D17" s="16">
        <v>1058.1726709377524</v>
      </c>
      <c r="E17" s="16">
        <v>1542.4567100955248</v>
      </c>
      <c r="F17" s="16">
        <v>2741.5191927130818</v>
      </c>
      <c r="G17" s="16">
        <v>1132.6607037394215</v>
      </c>
      <c r="H17" s="16">
        <v>4812.2007797128163</v>
      </c>
      <c r="I17" s="16">
        <v>8798.3787257595359</v>
      </c>
      <c r="J17" s="16">
        <v>106472.50431367061</v>
      </c>
      <c r="K17" s="16">
        <v>285628.78406094934</v>
      </c>
      <c r="L17" s="16">
        <v>124163.1956881715</v>
      </c>
      <c r="M17" s="16">
        <v>465.16181761897388</v>
      </c>
      <c r="N17" s="16">
        <v>295.92646489174422</v>
      </c>
      <c r="O17" s="16">
        <v>7233.1985651124287</v>
      </c>
      <c r="P17" s="16">
        <v>2857.8379919673444</v>
      </c>
      <c r="Q17" s="16">
        <v>2.9586199441852878</v>
      </c>
      <c r="R17" s="16">
        <v>615.69121606216436</v>
      </c>
      <c r="S17" s="16">
        <v>6524.6167069608418</v>
      </c>
      <c r="T17" s="16">
        <v>714071.9601523733</v>
      </c>
      <c r="U17" s="16">
        <v>6610.4897515975899</v>
      </c>
      <c r="V17" s="16">
        <v>559.45962453110246</v>
      </c>
    </row>
    <row r="18" spans="2:22" x14ac:dyDescent="0.3">
      <c r="B18" s="16">
        <v>2.9</v>
      </c>
      <c r="C18" s="16">
        <v>3483.3349591886849</v>
      </c>
      <c r="D18" s="16">
        <v>1112.8283922583832</v>
      </c>
      <c r="E18" s="16">
        <v>1542.4567100955248</v>
      </c>
      <c r="F18" s="16">
        <v>3062.6461462244392</v>
      </c>
      <c r="G18" s="16">
        <v>1197.4264255678095</v>
      </c>
      <c r="H18" s="16">
        <v>3261.9581509413547</v>
      </c>
      <c r="I18" s="16">
        <v>8389.0102350076741</v>
      </c>
      <c r="J18" s="16">
        <v>110376.27722141369</v>
      </c>
      <c r="K18" s="16">
        <v>296101.25219792326</v>
      </c>
      <c r="L18" s="16">
        <v>128951.81516126439</v>
      </c>
      <c r="M18" s="16">
        <v>503.48763200050263</v>
      </c>
      <c r="N18" s="16">
        <v>332.52622722948848</v>
      </c>
      <c r="O18" s="16">
        <v>8230.0684789243242</v>
      </c>
      <c r="P18" s="16">
        <v>3052.5799129535576</v>
      </c>
      <c r="Q18" s="16">
        <v>3.1274897323413353</v>
      </c>
      <c r="R18" s="16">
        <v>659.54879822657836</v>
      </c>
      <c r="S18" s="16">
        <v>6419.2510009520001</v>
      </c>
      <c r="T18" s="16">
        <v>740253.13049480808</v>
      </c>
      <c r="U18" s="16">
        <v>7224.9070232672921</v>
      </c>
      <c r="V18" s="16">
        <v>819.69460213791945</v>
      </c>
    </row>
    <row r="19" spans="2:22" x14ac:dyDescent="0.3">
      <c r="B19" s="16">
        <v>3.1</v>
      </c>
      <c r="C19" s="16">
        <v>3849.8455050005987</v>
      </c>
      <c r="D19" s="16">
        <v>1159.2727723247745</v>
      </c>
      <c r="E19" s="16">
        <v>1542.4567100955248</v>
      </c>
      <c r="F19" s="16">
        <v>3364.9348540762367</v>
      </c>
      <c r="G19" s="16">
        <v>1246.1198012916427</v>
      </c>
      <c r="H19" s="16">
        <v>2088.2936759883305</v>
      </c>
      <c r="I19" s="16">
        <v>8025.6331977169812</v>
      </c>
      <c r="J19" s="16">
        <v>114055.21230881629</v>
      </c>
      <c r="K19" s="16">
        <v>305970.5584796489</v>
      </c>
      <c r="L19" s="16">
        <v>133484.92502395887</v>
      </c>
      <c r="M19" s="16">
        <v>542.96286866639048</v>
      </c>
      <c r="N19" s="16">
        <v>371.22358570482589</v>
      </c>
      <c r="O19" s="16">
        <v>9062.4264174487907</v>
      </c>
      <c r="P19" s="16">
        <v>3207.7054900750236</v>
      </c>
      <c r="Q19" s="16">
        <v>3.2545600708319835</v>
      </c>
      <c r="R19" s="16">
        <v>694.3386324507901</v>
      </c>
      <c r="S19" s="16">
        <v>6454.9424924722334</v>
      </c>
      <c r="T19" s="16">
        <v>764926.39619912219</v>
      </c>
      <c r="U19" s="16">
        <v>7722.3379691653845</v>
      </c>
      <c r="V19" s="16">
        <v>1117.4058748848802</v>
      </c>
    </row>
    <row r="20" spans="2:22" x14ac:dyDescent="0.3">
      <c r="B20" s="16">
        <v>3.3</v>
      </c>
      <c r="C20" s="16">
        <v>4189.7807746840863</v>
      </c>
      <c r="D20" s="16">
        <v>1200.5121499819197</v>
      </c>
      <c r="E20" s="16">
        <v>1542.4567100955248</v>
      </c>
      <c r="F20" s="16">
        <v>3650.6399459165932</v>
      </c>
      <c r="G20" s="16">
        <v>1284.6957381636407</v>
      </c>
      <c r="H20" s="16">
        <v>1173.6306340101291</v>
      </c>
      <c r="I20" s="16">
        <v>7700.3977334383871</v>
      </c>
      <c r="J20" s="16">
        <v>117507.74436055892</v>
      </c>
      <c r="K20" s="16">
        <v>315232.50397653977</v>
      </c>
      <c r="L20" s="16">
        <v>137757.25064697993</v>
      </c>
      <c r="M20" s="16">
        <v>582.62933471651218</v>
      </c>
      <c r="N20" s="16">
        <v>411.08241365598059</v>
      </c>
      <c r="O20" s="16">
        <v>9774.1074490298797</v>
      </c>
      <c r="P20" s="16">
        <v>3337.5714984830197</v>
      </c>
      <c r="Q20" s="16">
        <v>3.355315812650959</v>
      </c>
      <c r="R20" s="16">
        <v>723.25774816297871</v>
      </c>
      <c r="S20" s="16">
        <v>6572.6516565008551</v>
      </c>
      <c r="T20" s="16">
        <v>788081.2599413495</v>
      </c>
      <c r="U20" s="16">
        <v>8141.364163259821</v>
      </c>
      <c r="V20" s="16">
        <v>1441.3207479618454</v>
      </c>
    </row>
    <row r="21" spans="2:22" x14ac:dyDescent="0.3">
      <c r="B21" s="16">
        <v>3.5</v>
      </c>
      <c r="C21" s="16">
        <v>4506.4720702113282</v>
      </c>
      <c r="D21" s="16">
        <v>1237.8443466263898</v>
      </c>
      <c r="E21" s="16">
        <v>1542.4567100955248</v>
      </c>
      <c r="F21" s="16">
        <v>3921.6241291317938</v>
      </c>
      <c r="G21" s="16">
        <v>1316.5083531758189</v>
      </c>
      <c r="H21" s="16">
        <v>447.74442370759789</v>
      </c>
      <c r="I21" s="16">
        <v>7405.7577728634324</v>
      </c>
      <c r="J21" s="16">
        <v>120746.12116199643</v>
      </c>
      <c r="K21" s="16">
        <v>323919.94524683047</v>
      </c>
      <c r="L21" s="16">
        <v>141780.80722790223</v>
      </c>
      <c r="M21" s="16">
        <v>622.09377831070992</v>
      </c>
      <c r="N21" s="16">
        <v>451.64555185080081</v>
      </c>
      <c r="O21" s="16">
        <v>10394.910711552422</v>
      </c>
      <c r="P21" s="16">
        <v>3450.3707440606868</v>
      </c>
      <c r="Q21" s="16">
        <v>3.4384776896527947</v>
      </c>
      <c r="R21" s="16">
        <v>748.15376648165773</v>
      </c>
      <c r="S21" s="16">
        <v>6741.3478561697184</v>
      </c>
      <c r="T21" s="16">
        <v>809799.86311707599</v>
      </c>
      <c r="U21" s="16">
        <v>8505.1460801241319</v>
      </c>
      <c r="V21" s="16">
        <v>1783.0262165573138</v>
      </c>
    </row>
    <row r="28" spans="2:22" x14ac:dyDescent="0.3">
      <c r="B28" s="17" t="s">
        <v>240</v>
      </c>
      <c r="C28" s="17" t="s">
        <v>118</v>
      </c>
      <c r="D28" s="17" t="s">
        <v>119</v>
      </c>
      <c r="E28" s="17" t="s">
        <v>120</v>
      </c>
      <c r="F28" s="17" t="s">
        <v>123</v>
      </c>
      <c r="G28" s="17" t="s">
        <v>125</v>
      </c>
      <c r="H28" s="17" t="s">
        <v>124</v>
      </c>
    </row>
    <row r="29" spans="2:22" x14ac:dyDescent="0.3">
      <c r="B29" s="16">
        <v>2.5</v>
      </c>
      <c r="C29" s="16">
        <v>0.79174994690516309</v>
      </c>
      <c r="D29" s="16">
        <v>3.8106225411188035</v>
      </c>
      <c r="E29" s="16">
        <v>0.26242431235563907</v>
      </c>
      <c r="F29" s="16">
        <v>1.2687298913338699E-2</v>
      </c>
      <c r="G29" s="16">
        <v>0.74118284344009411</v>
      </c>
      <c r="H29" s="16">
        <v>20.8250053094837</v>
      </c>
      <c r="I29" s="16">
        <v>0.32430261625935458</v>
      </c>
      <c r="J29" s="16">
        <v>1.6805077812729865</v>
      </c>
      <c r="K29" s="16">
        <v>0.23827129619979173</v>
      </c>
      <c r="L29" s="16">
        <v>543611.76913812361</v>
      </c>
    </row>
    <row r="30" spans="2:22" x14ac:dyDescent="0.3">
      <c r="B30" s="16">
        <v>2.7</v>
      </c>
      <c r="C30" s="16">
        <v>0.7898967612993093</v>
      </c>
      <c r="D30" s="16">
        <v>3.7737906634812184</v>
      </c>
      <c r="E30" s="16">
        <v>0.26498555144485081</v>
      </c>
      <c r="F30" s="16">
        <v>1.3781762480049234E-2</v>
      </c>
      <c r="G30" s="16">
        <v>0.8011703915314986</v>
      </c>
      <c r="H30" s="16">
        <v>21.010323870069069</v>
      </c>
      <c r="I30" s="16">
        <v>0.32689074998505646</v>
      </c>
      <c r="J30" s="16">
        <v>1.7604771696928734</v>
      </c>
      <c r="K30" s="16">
        <v>0.24020565000670163</v>
      </c>
      <c r="L30" s="16">
        <v>564043.12865900912</v>
      </c>
    </row>
    <row r="31" spans="2:22" x14ac:dyDescent="0.3">
      <c r="B31" s="16">
        <v>2.9</v>
      </c>
      <c r="C31" s="16">
        <v>0.78879031794552723</v>
      </c>
      <c r="D31" s="16">
        <v>3.7544703747794781</v>
      </c>
      <c r="E31" s="16">
        <v>0.26634915185839914</v>
      </c>
      <c r="F31" s="16">
        <v>1.3238832473157039E-2</v>
      </c>
      <c r="G31" s="16">
        <v>0.77141239785373727</v>
      </c>
      <c r="H31" s="16">
        <v>21.120968205447276</v>
      </c>
      <c r="I31" s="16">
        <v>0.3292352858262676</v>
      </c>
      <c r="J31" s="16">
        <v>1.8183987140116196</v>
      </c>
      <c r="K31" s="16">
        <v>0.24236345670487044</v>
      </c>
      <c r="L31" s="16">
        <v>583904.50216317154</v>
      </c>
    </row>
    <row r="32" spans="2:22" x14ac:dyDescent="0.3">
      <c r="B32" s="16">
        <v>3.1</v>
      </c>
      <c r="C32" s="16">
        <v>0.78811039511838488</v>
      </c>
      <c r="D32" s="16">
        <v>3.7454166424866164</v>
      </c>
      <c r="E32" s="16">
        <v>0.26699299315765596</v>
      </c>
      <c r="F32" s="16">
        <v>1.2331820908740496E-2</v>
      </c>
      <c r="G32" s="16">
        <v>0.72169909400806664</v>
      </c>
      <c r="H32" s="16">
        <v>21.188960488161513</v>
      </c>
      <c r="I32" s="16">
        <v>0.33182971404075401</v>
      </c>
      <c r="J32" s="16">
        <v>1.8633137202480963</v>
      </c>
      <c r="K32" s="16">
        <v>0.24462927800267664</v>
      </c>
      <c r="L32" s="16">
        <v>602846.44434497238</v>
      </c>
    </row>
    <row r="33" spans="2:12" x14ac:dyDescent="0.3">
      <c r="B33" s="16">
        <v>3.3</v>
      </c>
      <c r="C33" s="16">
        <v>0.7877177948580969</v>
      </c>
      <c r="D33" s="16">
        <v>3.7431164006595523</v>
      </c>
      <c r="E33" s="16">
        <v>0.26715706725652344</v>
      </c>
      <c r="F33" s="16">
        <v>1.1959199986815333E-2</v>
      </c>
      <c r="G33" s="16">
        <v>0.70127574127734837</v>
      </c>
      <c r="H33" s="16">
        <v>21.228220514190312</v>
      </c>
      <c r="I33" s="16">
        <v>0.3346072042296333</v>
      </c>
      <c r="J33" s="16">
        <v>1.9001715417143965</v>
      </c>
      <c r="K33" s="16">
        <v>0.246951461213615</v>
      </c>
      <c r="L33" s="16">
        <v>620785.63224999048</v>
      </c>
    </row>
    <row r="34" spans="2:12" x14ac:dyDescent="0.3">
      <c r="B34" s="16">
        <v>3.5</v>
      </c>
      <c r="C34" s="16">
        <v>0.78753086713794596</v>
      </c>
      <c r="D34" s="16">
        <v>3.7455393303065105</v>
      </c>
      <c r="E34" s="16">
        <v>0.26698424761118889</v>
      </c>
      <c r="F34" s="16">
        <v>1.175660043776486E-2</v>
      </c>
      <c r="G34" s="16">
        <v>0.69017125999389195</v>
      </c>
      <c r="H34" s="16">
        <v>21.246913286205405</v>
      </c>
      <c r="I34" s="16">
        <v>0.33747350997892811</v>
      </c>
      <c r="J34" s="16">
        <v>1.9316824713906868</v>
      </c>
      <c r="K34" s="16">
        <v>0.2492991345617265</v>
      </c>
      <c r="L34" s="16">
        <v>637742.3884087808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F8E15-0944-4FE7-87E9-AAA093D2FC4F}">
  <dimension ref="B2:V35"/>
  <sheetViews>
    <sheetView topLeftCell="A17" workbookViewId="0">
      <selection activeCell="B29" sqref="B29:L35"/>
    </sheetView>
  </sheetViews>
  <sheetFormatPr baseColWidth="10" defaultRowHeight="14.4" x14ac:dyDescent="0.3"/>
  <cols>
    <col min="1" max="16384" width="11.5546875" style="16"/>
  </cols>
  <sheetData>
    <row r="2" spans="2:22" x14ac:dyDescent="0.3">
      <c r="B2" s="17" t="s">
        <v>77</v>
      </c>
      <c r="C2" s="17" t="s">
        <v>90</v>
      </c>
      <c r="D2" s="17" t="s">
        <v>97</v>
      </c>
      <c r="E2" s="17" t="s">
        <v>91</v>
      </c>
      <c r="F2" s="17" t="s">
        <v>1</v>
      </c>
      <c r="G2" s="17" t="s">
        <v>2</v>
      </c>
      <c r="H2" s="17" t="s">
        <v>3</v>
      </c>
      <c r="I2" s="17" t="s">
        <v>4</v>
      </c>
      <c r="J2" s="17" t="s">
        <v>5</v>
      </c>
      <c r="K2" s="17" t="s">
        <v>6</v>
      </c>
      <c r="L2" s="17" t="s">
        <v>7</v>
      </c>
    </row>
    <row r="3" spans="2:22" x14ac:dyDescent="0.3">
      <c r="B3" s="16">
        <v>0.6</v>
      </c>
      <c r="C3" s="16">
        <v>84.651663100386017</v>
      </c>
      <c r="D3" s="16">
        <v>8.3031937850684709</v>
      </c>
      <c r="E3" s="16">
        <v>42.07101122120514</v>
      </c>
      <c r="F3" s="16">
        <v>14.631738688404706</v>
      </c>
      <c r="G3" s="16">
        <v>38.640747946232182</v>
      </c>
      <c r="H3" s="16">
        <v>16.821059556257197</v>
      </c>
      <c r="I3" s="16">
        <v>16.450346936931222</v>
      </c>
      <c r="J3" s="16">
        <v>85.324619297444372</v>
      </c>
      <c r="K3" s="16">
        <v>41.998410620174532</v>
      </c>
      <c r="L3" s="16">
        <v>375.32647125692898</v>
      </c>
    </row>
    <row r="4" spans="2:22" x14ac:dyDescent="0.3">
      <c r="B4" s="16">
        <v>0.65</v>
      </c>
      <c r="C4" s="16">
        <v>95.719638863224972</v>
      </c>
      <c r="D4" s="16">
        <v>8.2711726604665081</v>
      </c>
      <c r="E4" s="16">
        <v>45.139879807873122</v>
      </c>
      <c r="F4" s="16">
        <v>15.866175674521301</v>
      </c>
      <c r="G4" s="16">
        <v>41.898367780725323</v>
      </c>
      <c r="H4" s="16">
        <v>16.842730303208608</v>
      </c>
      <c r="I4" s="16">
        <v>16.471549518827615</v>
      </c>
      <c r="J4" s="16">
        <v>85.252672669359299</v>
      </c>
      <c r="K4" s="16">
        <v>41.890355298669128</v>
      </c>
      <c r="L4" s="16">
        <v>374.36081513036891</v>
      </c>
    </row>
    <row r="5" spans="2:22" x14ac:dyDescent="0.3">
      <c r="B5" s="16">
        <v>0.7</v>
      </c>
      <c r="C5" s="16">
        <v>106.78762964531352</v>
      </c>
      <c r="D5" s="16">
        <v>8.239143084329033</v>
      </c>
      <c r="E5" s="16">
        <v>47.910236668301629</v>
      </c>
      <c r="F5" s="16">
        <v>16.980539852983494</v>
      </c>
      <c r="G5" s="16">
        <v>44.839121213116108</v>
      </c>
      <c r="H5" s="16">
        <v>16.864557590846722</v>
      </c>
      <c r="I5" s="16">
        <v>16.492905818748895</v>
      </c>
      <c r="J5" s="16">
        <v>85.181148108243178</v>
      </c>
      <c r="K5" s="16">
        <v>41.782229312474705</v>
      </c>
      <c r="L5" s="16">
        <v>373.39452749590225</v>
      </c>
    </row>
    <row r="6" spans="2:22" x14ac:dyDescent="0.3">
      <c r="B6" s="16">
        <v>0.75</v>
      </c>
      <c r="C6" s="16">
        <v>117.85563567355979</v>
      </c>
      <c r="D6" s="16">
        <v>8.2071051883693009</v>
      </c>
      <c r="E6" s="16">
        <v>50.423610652608318</v>
      </c>
      <c r="F6" s="16">
        <v>17.991535686290757</v>
      </c>
      <c r="G6" s="16">
        <v>47.507090521397558</v>
      </c>
      <c r="H6" s="16">
        <v>16.886542655961488</v>
      </c>
      <c r="I6" s="16">
        <v>16.514417052706353</v>
      </c>
      <c r="J6" s="16">
        <v>85.110046267862344</v>
      </c>
      <c r="K6" s="16">
        <v>41.674031689831082</v>
      </c>
      <c r="L6" s="16">
        <v>372.42759966921648</v>
      </c>
    </row>
    <row r="7" spans="2:22" x14ac:dyDescent="0.3">
      <c r="B7" s="16">
        <v>0.8</v>
      </c>
      <c r="C7" s="16">
        <v>128.92365717653769</v>
      </c>
      <c r="D7" s="16">
        <v>8.175059105642541</v>
      </c>
      <c r="E7" s="16">
        <v>52.714168694769128</v>
      </c>
      <c r="F7" s="16">
        <v>18.912906397652986</v>
      </c>
      <c r="G7" s="16">
        <v>49.938543414634438</v>
      </c>
      <c r="H7" s="16">
        <v>16.908686748389439</v>
      </c>
      <c r="I7" s="16">
        <v>16.536084449565948</v>
      </c>
      <c r="J7" s="16">
        <v>85.039367798199862</v>
      </c>
      <c r="K7" s="16">
        <v>41.565761451301526</v>
      </c>
      <c r="L7" s="16">
        <v>371.46002289739641</v>
      </c>
    </row>
    <row r="8" spans="2:22" x14ac:dyDescent="0.3">
      <c r="B8" s="16">
        <v>0.85</v>
      </c>
      <c r="C8" s="16">
        <v>139.99169412513476</v>
      </c>
      <c r="D8" s="16">
        <v>8.1430049254371397</v>
      </c>
      <c r="E8" s="16">
        <v>54.810275097122194</v>
      </c>
      <c r="F8" s="16">
        <v>19.756061295659428</v>
      </c>
      <c r="G8" s="16">
        <v>52.163588511305669</v>
      </c>
      <c r="H8" s="16">
        <v>16.93099116797703</v>
      </c>
      <c r="I8" s="16">
        <v>16.557909287288794</v>
      </c>
      <c r="J8" s="16">
        <v>84.969113326180548</v>
      </c>
      <c r="K8" s="16">
        <v>41.457417470316159</v>
      </c>
      <c r="L8" s="16">
        <v>370.49178711264432</v>
      </c>
    </row>
    <row r="9" spans="2:22" x14ac:dyDescent="0.3">
      <c r="B9" s="16">
        <v>0.9</v>
      </c>
      <c r="C9" s="16">
        <v>151.05974730939982</v>
      </c>
      <c r="D9" s="16">
        <v>8.1109428806513328</v>
      </c>
      <c r="E9" s="16">
        <v>56.735683787276784</v>
      </c>
      <c r="F9" s="16">
        <v>20.530554834676661</v>
      </c>
      <c r="G9" s="16">
        <v>54.207439562950576</v>
      </c>
      <c r="H9" s="16">
        <v>16.953457112175137</v>
      </c>
      <c r="I9" s="16">
        <v>16.57989274351246</v>
      </c>
      <c r="J9" s="16">
        <v>84.899283535324514</v>
      </c>
      <c r="K9" s="16">
        <v>41.34899905182413</v>
      </c>
      <c r="L9" s="16">
        <v>369.52288610351127</v>
      </c>
    </row>
    <row r="15" spans="2:22" x14ac:dyDescent="0.3">
      <c r="B15" s="17" t="s">
        <v>77</v>
      </c>
      <c r="C15" s="17" t="s">
        <v>8</v>
      </c>
      <c r="D15" s="17" t="s">
        <v>9</v>
      </c>
      <c r="E15" s="17" t="s">
        <v>10</v>
      </c>
      <c r="F15" s="17" t="s">
        <v>11</v>
      </c>
      <c r="G15" s="17" t="s">
        <v>92</v>
      </c>
      <c r="H15" s="17" t="s">
        <v>12</v>
      </c>
      <c r="I15" s="17" t="s">
        <v>13</v>
      </c>
      <c r="J15" s="17" t="s">
        <v>93</v>
      </c>
      <c r="K15" s="17" t="s">
        <v>14</v>
      </c>
      <c r="L15" s="17" t="s">
        <v>94</v>
      </c>
      <c r="M15" s="17" t="s">
        <v>15</v>
      </c>
      <c r="N15" s="17" t="s">
        <v>16</v>
      </c>
      <c r="O15" s="17" t="s">
        <v>17</v>
      </c>
      <c r="P15" s="17" t="s">
        <v>18</v>
      </c>
      <c r="Q15" s="17" t="s">
        <v>95</v>
      </c>
      <c r="R15" s="17" t="s">
        <v>19</v>
      </c>
      <c r="S15" s="17" t="s">
        <v>96</v>
      </c>
      <c r="T15" s="17" t="s">
        <v>20</v>
      </c>
      <c r="U15" s="17" t="s">
        <v>121</v>
      </c>
      <c r="V15" s="17" t="s">
        <v>21</v>
      </c>
    </row>
    <row r="16" spans="2:22" x14ac:dyDescent="0.3">
      <c r="B16" s="16">
        <v>0.6</v>
      </c>
      <c r="C16" s="16">
        <v>3188.5506685029641</v>
      </c>
      <c r="D16" s="16">
        <v>1043.876310747346</v>
      </c>
      <c r="E16" s="16">
        <v>8610.2319558728486</v>
      </c>
      <c r="F16" s="16">
        <v>15551.202889850705</v>
      </c>
      <c r="G16" s="16">
        <v>1170.9481617362537</v>
      </c>
      <c r="H16" s="16">
        <v>4828.1167891059304</v>
      </c>
      <c r="I16" s="16">
        <v>9352.6697515099131</v>
      </c>
      <c r="J16" s="16">
        <v>79195.96700526237</v>
      </c>
      <c r="K16" s="16">
        <v>212455.29917849187</v>
      </c>
      <c r="L16" s="16">
        <v>91682.455189337765</v>
      </c>
      <c r="M16" s="16">
        <v>479.80835265660414</v>
      </c>
      <c r="N16" s="16">
        <v>309.53584846505231</v>
      </c>
      <c r="O16" s="16">
        <v>7714.9057117973007</v>
      </c>
      <c r="P16" s="16">
        <v>2966.3162908925378</v>
      </c>
      <c r="Q16" s="16">
        <v>3.0584860662206266</v>
      </c>
      <c r="R16" s="16">
        <v>639.86455360544733</v>
      </c>
      <c r="S16" s="16">
        <v>6630.5857324783947</v>
      </c>
      <c r="T16" s="16">
        <v>531138.24794622965</v>
      </c>
      <c r="U16" s="16">
        <v>6932.9761335951862</v>
      </c>
      <c r="V16" s="16">
        <v>660.83934535734693</v>
      </c>
    </row>
    <row r="17" spans="2:22" x14ac:dyDescent="0.3">
      <c r="B17" s="16">
        <v>0.65</v>
      </c>
      <c r="C17" s="16">
        <v>3185.6026611351294</v>
      </c>
      <c r="D17" s="16">
        <v>1047.8213709567915</v>
      </c>
      <c r="E17" s="16">
        <v>7544.4300571883768</v>
      </c>
      <c r="F17" s="16">
        <v>13641.822894306615</v>
      </c>
      <c r="G17" s="16">
        <v>1167.377834047664</v>
      </c>
      <c r="H17" s="16">
        <v>4773.8608169536465</v>
      </c>
      <c r="I17" s="16">
        <v>9254.7297393386671</v>
      </c>
      <c r="J17" s="16">
        <v>83462.458846271998</v>
      </c>
      <c r="K17" s="16">
        <v>223900.81635317404</v>
      </c>
      <c r="L17" s="16">
        <v>96731.337537772473</v>
      </c>
      <c r="M17" s="16">
        <v>478.6995829181883</v>
      </c>
      <c r="N17" s="16">
        <v>308.52100323915852</v>
      </c>
      <c r="O17" s="16">
        <v>7674.0444047855644</v>
      </c>
      <c r="P17" s="16">
        <v>2956.4116676933759</v>
      </c>
      <c r="Q17" s="16">
        <v>3.0491695134966466</v>
      </c>
      <c r="R17" s="16">
        <v>637.6738205926822</v>
      </c>
      <c r="S17" s="16">
        <v>6608.5906938628559</v>
      </c>
      <c r="T17" s="16">
        <v>559752.04088293505</v>
      </c>
      <c r="U17" s="16">
        <v>6904.4750775131142</v>
      </c>
      <c r="V17" s="16">
        <v>652.81228129907402</v>
      </c>
    </row>
    <row r="18" spans="2:22" x14ac:dyDescent="0.3">
      <c r="B18" s="16">
        <v>0.7</v>
      </c>
      <c r="C18" s="16">
        <v>3182.644455056779</v>
      </c>
      <c r="D18" s="16">
        <v>1051.7772748712823</v>
      </c>
      <c r="E18" s="16">
        <v>6475.6703599589018</v>
      </c>
      <c r="F18" s="16">
        <v>11722.797219174221</v>
      </c>
      <c r="G18" s="16">
        <v>1163.8002679140027</v>
      </c>
      <c r="H18" s="16">
        <v>4719.2041314713424</v>
      </c>
      <c r="I18" s="16">
        <v>9157.0271064838616</v>
      </c>
      <c r="J18" s="16">
        <v>87728.994646362858</v>
      </c>
      <c r="K18" s="16">
        <v>235346.45145481778</v>
      </c>
      <c r="L18" s="16">
        <v>101792.88253725517</v>
      </c>
      <c r="M18" s="16">
        <v>477.59838298531952</v>
      </c>
      <c r="N18" s="16">
        <v>307.51397795733186</v>
      </c>
      <c r="O18" s="16">
        <v>7633.226975656662</v>
      </c>
      <c r="P18" s="16">
        <v>2946.4972692960191</v>
      </c>
      <c r="Q18" s="16">
        <v>3.0398341699894589</v>
      </c>
      <c r="R18" s="16">
        <v>635.48096259737144</v>
      </c>
      <c r="S18" s="16">
        <v>6586.7021178591458</v>
      </c>
      <c r="T18" s="16">
        <v>588366.12863704446</v>
      </c>
      <c r="U18" s="16">
        <v>6875.9679388525192</v>
      </c>
      <c r="V18" s="16">
        <v>644.86001309898495</v>
      </c>
    </row>
    <row r="19" spans="2:22" x14ac:dyDescent="0.3">
      <c r="B19" s="16">
        <v>0.75</v>
      </c>
      <c r="C19" s="16">
        <v>3179.6759917278887</v>
      </c>
      <c r="D19" s="16">
        <v>1055.7440776822809</v>
      </c>
      <c r="E19" s="16">
        <v>5403.9352110712753</v>
      </c>
      <c r="F19" s="16">
        <v>9794.0194828991152</v>
      </c>
      <c r="G19" s="16">
        <v>1160.2154649607455</v>
      </c>
      <c r="H19" s="16">
        <v>4664.1478209078205</v>
      </c>
      <c r="I19" s="16">
        <v>9059.5629791777956</v>
      </c>
      <c r="J19" s="16">
        <v>91995.574525781194</v>
      </c>
      <c r="K19" s="16">
        <v>246792.20480600206</v>
      </c>
      <c r="L19" s="16">
        <v>106867.21213527194</v>
      </c>
      <c r="M19" s="16">
        <v>476.50475067363294</v>
      </c>
      <c r="N19" s="16">
        <v>306.51475643697756</v>
      </c>
      <c r="O19" s="16">
        <v>7592.4695660017896</v>
      </c>
      <c r="P19" s="16">
        <v>2936.5730806933279</v>
      </c>
      <c r="Q19" s="16">
        <v>3.0304800390416675</v>
      </c>
      <c r="R19" s="16">
        <v>633.28598215131888</v>
      </c>
      <c r="S19" s="16">
        <v>6564.9198074580263</v>
      </c>
      <c r="T19" s="16">
        <v>616980.51201500499</v>
      </c>
      <c r="U19" s="16">
        <v>6847.4548807334431</v>
      </c>
      <c r="V19" s="16">
        <v>636.96663850310608</v>
      </c>
    </row>
    <row r="20" spans="2:22" x14ac:dyDescent="0.3">
      <c r="B20" s="16">
        <v>0.8</v>
      </c>
      <c r="C20" s="16">
        <v>3176.6972121346889</v>
      </c>
      <c r="D20" s="16">
        <v>1059.721835024003</v>
      </c>
      <c r="E20" s="16">
        <v>4329.206793663554</v>
      </c>
      <c r="F20" s="16">
        <v>7855.3814543741792</v>
      </c>
      <c r="G20" s="16">
        <v>1156.6234270305308</v>
      </c>
      <c r="H20" s="16">
        <v>4608.6931025683307</v>
      </c>
      <c r="I20" s="16">
        <v>8962.3384882152895</v>
      </c>
      <c r="J20" s="16">
        <v>96262.198605157217</v>
      </c>
      <c r="K20" s="16">
        <v>258238.07673033568</v>
      </c>
      <c r="L20" s="16">
        <v>111954.45016030467</v>
      </c>
      <c r="M20" s="16">
        <v>475.41868378703322</v>
      </c>
      <c r="N20" s="16">
        <v>305.52332255396959</v>
      </c>
      <c r="O20" s="16">
        <v>7551.7725219044723</v>
      </c>
      <c r="P20" s="16">
        <v>2926.6390881218472</v>
      </c>
      <c r="Q20" s="16">
        <v>3.0211071245494749</v>
      </c>
      <c r="R20" s="16">
        <v>631.0888811175264</v>
      </c>
      <c r="S20" s="16">
        <v>6543.2435634506955</v>
      </c>
      <c r="T20" s="16">
        <v>645595.19182583911</v>
      </c>
      <c r="U20" s="16">
        <v>6818.9360678689582</v>
      </c>
      <c r="V20" s="16">
        <v>629.13205033856616</v>
      </c>
    </row>
    <row r="21" spans="2:22" x14ac:dyDescent="0.3">
      <c r="B21" s="16">
        <v>0.85</v>
      </c>
      <c r="C21" s="16">
        <v>3173.7080391990989</v>
      </c>
      <c r="D21" s="16">
        <v>1063.7106287563015</v>
      </c>
      <c r="E21" s="16">
        <v>3251.4671250847132</v>
      </c>
      <c r="F21" s="16">
        <v>5906.7693275598585</v>
      </c>
      <c r="G21" s="16">
        <v>1153.0241497972104</v>
      </c>
      <c r="H21" s="16">
        <v>4552.8544882684373</v>
      </c>
      <c r="I21" s="16">
        <v>8865.3546420253879</v>
      </c>
      <c r="J21" s="16">
        <v>100528.87198471166</v>
      </c>
      <c r="K21" s="16">
        <v>269684.0809099414</v>
      </c>
      <c r="L21" s="16">
        <v>117054.72843049669</v>
      </c>
      <c r="M21" s="16">
        <v>474.34018002231136</v>
      </c>
      <c r="N21" s="16">
        <v>304.53966024366213</v>
      </c>
      <c r="O21" s="16">
        <v>7511.1361485193947</v>
      </c>
      <c r="P21" s="16">
        <v>2916.6952608827623</v>
      </c>
      <c r="Q21" s="16">
        <v>3.0117154142819711</v>
      </c>
      <c r="R21" s="16">
        <v>628.8896592311786</v>
      </c>
      <c r="S21" s="16">
        <v>6521.6731440447938</v>
      </c>
      <c r="T21" s="16">
        <v>674210.20227485348</v>
      </c>
      <c r="U21" s="16">
        <v>6790.4116260048368</v>
      </c>
      <c r="V21" s="16">
        <v>621.35613686952445</v>
      </c>
    </row>
    <row r="22" spans="2:22" x14ac:dyDescent="0.3">
      <c r="B22" s="16">
        <v>0.9</v>
      </c>
      <c r="C22" s="16">
        <v>3170.7084507537484</v>
      </c>
      <c r="D22" s="16">
        <v>1067.7104599818438</v>
      </c>
      <c r="E22" s="16">
        <v>2170.6980548234433</v>
      </c>
      <c r="F22" s="16">
        <v>3948.0789449175445</v>
      </c>
      <c r="G22" s="16">
        <v>1149.4176492962922</v>
      </c>
      <c r="H22" s="16">
        <v>4496.6051596002653</v>
      </c>
      <c r="I22" s="16">
        <v>8768.6128540601658</v>
      </c>
      <c r="J22" s="16">
        <v>104795.58407176075</v>
      </c>
      <c r="K22" s="16">
        <v>281130.18892832403</v>
      </c>
      <c r="L22" s="16">
        <v>122168.16161023772</v>
      </c>
      <c r="M22" s="16">
        <v>473.26923738185826</v>
      </c>
      <c r="N22" s="16">
        <v>303.56375350130452</v>
      </c>
      <c r="O22" s="16">
        <v>7470.5608830328774</v>
      </c>
      <c r="P22" s="16">
        <v>2906.7416213199263</v>
      </c>
      <c r="Q22" s="16">
        <v>3.0023049491744751</v>
      </c>
      <c r="R22" s="16">
        <v>626.68832570193877</v>
      </c>
      <c r="S22" s="16">
        <v>6500.2084323924255</v>
      </c>
      <c r="T22" s="16">
        <v>702825.47232081008</v>
      </c>
      <c r="U22" s="16">
        <v>6761.881810422914</v>
      </c>
      <c r="V22" s="16">
        <v>613.63879603503915</v>
      </c>
    </row>
    <row r="28" spans="2:22" x14ac:dyDescent="0.3">
      <c r="B28" s="17" t="s">
        <v>77</v>
      </c>
      <c r="C28" s="17" t="s">
        <v>118</v>
      </c>
      <c r="D28" s="17" t="s">
        <v>119</v>
      </c>
      <c r="E28" s="17" t="s">
        <v>120</v>
      </c>
      <c r="F28" s="17" t="s">
        <v>123</v>
      </c>
      <c r="G28" s="17" t="s">
        <v>125</v>
      </c>
      <c r="H28" s="17" t="s">
        <v>124</v>
      </c>
    </row>
    <row r="29" spans="2:22" x14ac:dyDescent="0.3">
      <c r="B29" s="16">
        <v>0.6</v>
      </c>
      <c r="C29" s="16">
        <v>0.85242659657944664</v>
      </c>
      <c r="D29" s="16">
        <v>5.8258735665842218</v>
      </c>
      <c r="E29" s="16">
        <v>0.17164807793559991</v>
      </c>
      <c r="F29" s="16">
        <v>2.0341675998230901E-2</v>
      </c>
      <c r="G29" s="16">
        <v>1.1607192514630356</v>
      </c>
      <c r="H29" s="16">
        <v>14.757340342055347</v>
      </c>
      <c r="I29" s="16">
        <v>0.15189110299219086</v>
      </c>
      <c r="J29" s="16">
        <v>0.56640737464839852</v>
      </c>
      <c r="K29" s="16">
        <v>3.9478837258498566E-2</v>
      </c>
      <c r="L29" s="16">
        <v>452756.36900997476</v>
      </c>
    </row>
    <row r="30" spans="2:22" x14ac:dyDescent="0.3">
      <c r="B30" s="16">
        <v>0.65</v>
      </c>
      <c r="C30" s="16">
        <v>0.84016080189624043</v>
      </c>
      <c r="D30" s="16">
        <v>5.295294966671853</v>
      </c>
      <c r="E30" s="16">
        <v>0.1888468926271184</v>
      </c>
      <c r="F30" s="16">
        <v>1.978432924799594E-2</v>
      </c>
      <c r="G30" s="16">
        <v>1.1301710760826573</v>
      </c>
      <c r="H30" s="16">
        <v>15.983919810375957</v>
      </c>
      <c r="I30" s="16">
        <v>0.13963406500419584</v>
      </c>
      <c r="J30" s="16">
        <v>0.54963928725632771</v>
      </c>
      <c r="K30" s="16">
        <v>3.6836193073165435E-2</v>
      </c>
      <c r="L30" s="16">
        <v>470281.72353126388</v>
      </c>
    </row>
    <row r="31" spans="2:22" x14ac:dyDescent="0.3">
      <c r="B31" s="16">
        <v>0.7</v>
      </c>
      <c r="C31" s="16">
        <v>0.82908796609816826</v>
      </c>
      <c r="D31" s="16">
        <v>4.8825771929300403</v>
      </c>
      <c r="E31" s="16">
        <v>0.20480986996949019</v>
      </c>
      <c r="F31" s="16">
        <v>1.9555506784251827E-2</v>
      </c>
      <c r="G31" s="16">
        <v>1.1176293168448426</v>
      </c>
      <c r="H31" s="16">
        <v>17.091203390183175</v>
      </c>
      <c r="I31" s="16">
        <v>0.13020351945141498</v>
      </c>
      <c r="J31" s="16">
        <v>0.53656271821736845</v>
      </c>
      <c r="K31" s="16">
        <v>3.4796268436626483E-2</v>
      </c>
      <c r="L31" s="16">
        <v>487807.27691274043</v>
      </c>
    </row>
    <row r="32" spans="2:22" x14ac:dyDescent="0.3">
      <c r="B32" s="16">
        <v>0.75</v>
      </c>
      <c r="C32" s="16">
        <v>0.81904215118447687</v>
      </c>
      <c r="D32" s="16">
        <v>4.5523748804198689</v>
      </c>
      <c r="E32" s="16">
        <v>0.21966556495623429</v>
      </c>
      <c r="F32" s="16">
        <v>1.9780145140133622E-2</v>
      </c>
      <c r="G32" s="16">
        <v>1.1299417451307239</v>
      </c>
      <c r="H32" s="16">
        <v>18.095784881552312</v>
      </c>
      <c r="I32" s="16">
        <v>0.12283585939108733</v>
      </c>
      <c r="J32" s="16">
        <v>0.52650233392927837</v>
      </c>
      <c r="K32" s="16">
        <v>3.3249815789451624E-2</v>
      </c>
      <c r="L32" s="16">
        <v>505333.04579966969</v>
      </c>
    </row>
    <row r="33" spans="2:12" x14ac:dyDescent="0.3">
      <c r="B33" s="16">
        <v>0.8</v>
      </c>
      <c r="C33" s="16">
        <v>0.80988681090702375</v>
      </c>
      <c r="D33" s="16">
        <v>4.2821911866889346</v>
      </c>
      <c r="E33" s="16">
        <v>0.23352530431347171</v>
      </c>
      <c r="F33" s="16">
        <v>2.1278787193004869E-2</v>
      </c>
      <c r="G33" s="16">
        <v>1.2120823160485967</v>
      </c>
      <c r="H33" s="16">
        <v>19.011318909297625</v>
      </c>
      <c r="I33" s="16">
        <v>0.11719887472150799</v>
      </c>
      <c r="J33" s="16">
        <v>0.51947519143337839</v>
      </c>
      <c r="K33" s="16">
        <v>3.2201562697492067E-2</v>
      </c>
      <c r="L33" s="16">
        <v>522859.03104473709</v>
      </c>
    </row>
    <row r="34" spans="2:12" x14ac:dyDescent="0.3">
      <c r="B34" s="16">
        <v>0.85</v>
      </c>
      <c r="C34" s="16">
        <v>0.80150858782155698</v>
      </c>
      <c r="D34" s="16">
        <v>4.0570262251497224</v>
      </c>
      <c r="E34" s="16">
        <v>0.24648595905073192</v>
      </c>
      <c r="F34" s="16">
        <v>1.9465300659532975E-2</v>
      </c>
      <c r="G34" s="16">
        <v>1.1126851191490024</v>
      </c>
      <c r="H34" s="16">
        <v>19.849141217844313</v>
      </c>
      <c r="I34" s="16">
        <v>0.11300286763090467</v>
      </c>
      <c r="J34" s="16">
        <v>0.51728913977209012</v>
      </c>
      <c r="K34" s="16">
        <v>3.1952881074093976E-2</v>
      </c>
      <c r="L34" s="16">
        <v>540385.26712020405</v>
      </c>
    </row>
    <row r="35" spans="2:12" x14ac:dyDescent="0.3">
      <c r="B35" s="16">
        <v>0.9</v>
      </c>
      <c r="C35" s="16">
        <v>0.79381255307974286</v>
      </c>
      <c r="D35" s="16">
        <v>3.8664934263684487</v>
      </c>
      <c r="E35" s="16">
        <v>0.25863227729297766</v>
      </c>
      <c r="F35" s="16">
        <v>1.6483802014683472E-2</v>
      </c>
      <c r="G35" s="16">
        <v>0.94926917842480119</v>
      </c>
      <c r="H35" s="16">
        <v>20.618744692025714</v>
      </c>
      <c r="I35" s="16">
        <v>0.11291062697480642</v>
      </c>
      <c r="J35" s="16">
        <v>0.53677735101387736</v>
      </c>
      <c r="K35" s="16">
        <v>3.5298644970179663E-2</v>
      </c>
      <c r="L35" s="16">
        <v>557911.68255245837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148A7-EAA7-4F28-BBF6-02D6EA60B99E}">
  <dimension ref="B2:V35"/>
  <sheetViews>
    <sheetView topLeftCell="A17" workbookViewId="0">
      <selection activeCell="B29" sqref="B29:L35"/>
    </sheetView>
  </sheetViews>
  <sheetFormatPr baseColWidth="10" defaultRowHeight="14.4" x14ac:dyDescent="0.3"/>
  <cols>
    <col min="1" max="16384" width="11.5546875" style="16"/>
  </cols>
  <sheetData>
    <row r="2" spans="2:22" x14ac:dyDescent="0.3">
      <c r="B2" s="17" t="s">
        <v>241</v>
      </c>
      <c r="C2" s="17" t="s">
        <v>90</v>
      </c>
      <c r="D2" s="17" t="s">
        <v>97</v>
      </c>
      <c r="E2" s="17" t="s">
        <v>91</v>
      </c>
      <c r="F2" s="17" t="s">
        <v>1</v>
      </c>
      <c r="G2" s="17" t="s">
        <v>2</v>
      </c>
      <c r="H2" s="17" t="s">
        <v>3</v>
      </c>
      <c r="I2" s="17" t="s">
        <v>4</v>
      </c>
      <c r="J2" s="17" t="s">
        <v>5</v>
      </c>
      <c r="K2" s="17" t="s">
        <v>6</v>
      </c>
      <c r="L2" s="17" t="s">
        <v>7</v>
      </c>
    </row>
    <row r="3" spans="2:22" x14ac:dyDescent="0.3">
      <c r="B3" s="16">
        <v>0.6</v>
      </c>
      <c r="C3" s="16">
        <v>131.37511198083556</v>
      </c>
      <c r="D3" s="16">
        <v>9.3200967432357285</v>
      </c>
      <c r="E3" s="16">
        <v>50.071624569453377</v>
      </c>
      <c r="F3" s="16">
        <v>17.839741822862763</v>
      </c>
      <c r="G3" s="16">
        <v>47.106200088887334</v>
      </c>
      <c r="H3" s="16">
        <v>16.462268690205413</v>
      </c>
      <c r="I3" s="16">
        <v>16.102972586183899</v>
      </c>
      <c r="J3" s="16">
        <v>91.9253559989113</v>
      </c>
      <c r="K3" s="16">
        <v>46.149026428859131</v>
      </c>
      <c r="L3" s="16">
        <v>412.41920791083669</v>
      </c>
    </row>
    <row r="4" spans="2:22" x14ac:dyDescent="0.3">
      <c r="B4" s="16">
        <v>0.65</v>
      </c>
      <c r="C4" s="16">
        <v>137.50731004203092</v>
      </c>
      <c r="D4" s="16">
        <v>9.0281428634368091</v>
      </c>
      <c r="E4" s="16">
        <v>51.956539392742719</v>
      </c>
      <c r="F4" s="16">
        <v>18.600572278859662</v>
      </c>
      <c r="G4" s="16">
        <v>49.114119918070912</v>
      </c>
      <c r="H4" s="16">
        <v>16.618043449597593</v>
      </c>
      <c r="I4" s="16">
        <v>16.255179781923417</v>
      </c>
      <c r="J4" s="16">
        <v>90.989305976502749</v>
      </c>
      <c r="K4" s="16">
        <v>45.125682851446044</v>
      </c>
      <c r="L4" s="16">
        <v>403.27391102644947</v>
      </c>
    </row>
    <row r="5" spans="2:22" x14ac:dyDescent="0.3">
      <c r="B5" s="16">
        <v>0.7</v>
      </c>
      <c r="C5" s="16">
        <v>142.77772072465743</v>
      </c>
      <c r="D5" s="16">
        <v>8.7787096101952358</v>
      </c>
      <c r="E5" s="16">
        <v>53.541101217454965</v>
      </c>
      <c r="F5" s="16">
        <v>19.240416855501568</v>
      </c>
      <c r="G5" s="16">
        <v>50.802741615166326</v>
      </c>
      <c r="H5" s="16">
        <v>16.7600449364352</v>
      </c>
      <c r="I5" s="16">
        <v>16.393981062161274</v>
      </c>
      <c r="J5" s="16">
        <v>90.230933490109237</v>
      </c>
      <c r="K5" s="16">
        <v>44.253416223389642</v>
      </c>
      <c r="L5" s="16">
        <v>395.4787409076468</v>
      </c>
    </row>
    <row r="6" spans="2:22" x14ac:dyDescent="0.3">
      <c r="B6" s="16">
        <v>0.75</v>
      </c>
      <c r="C6" s="16">
        <v>147.35667937941781</v>
      </c>
      <c r="D6" s="16">
        <v>8.563320091983833</v>
      </c>
      <c r="E6" s="16">
        <v>54.890651906707951</v>
      </c>
      <c r="F6" s="16">
        <v>19.785543457011226</v>
      </c>
      <c r="G6" s="16">
        <v>52.241389953373904</v>
      </c>
      <c r="H6" s="16">
        <v>16.889621914325545</v>
      </c>
      <c r="I6" s="16">
        <v>16.520675581272112</v>
      </c>
      <c r="J6" s="16">
        <v>89.606197121539367</v>
      </c>
      <c r="K6" s="16">
        <v>43.501095785145466</v>
      </c>
      <c r="L6" s="16">
        <v>388.75549183295408</v>
      </c>
    </row>
    <row r="7" spans="2:22" x14ac:dyDescent="0.3">
      <c r="B7" s="16">
        <v>0.8</v>
      </c>
      <c r="C7" s="16">
        <v>151.37216187198626</v>
      </c>
      <c r="D7" s="16">
        <v>8.375579131892728</v>
      </c>
      <c r="E7" s="16">
        <v>56.053007710442238</v>
      </c>
      <c r="F7" s="16">
        <v>20.25518900750864</v>
      </c>
      <c r="G7" s="16">
        <v>53.480833928986208</v>
      </c>
      <c r="H7" s="16">
        <v>17.0080724028589</v>
      </c>
      <c r="I7" s="16">
        <v>16.636519309543448</v>
      </c>
      <c r="J7" s="16">
        <v>89.084111961747624</v>
      </c>
      <c r="K7" s="16">
        <v>42.845613696759763</v>
      </c>
      <c r="L7" s="16">
        <v>382.89765636791992</v>
      </c>
    </row>
    <row r="8" spans="2:22" x14ac:dyDescent="0.3">
      <c r="B8" s="16">
        <v>0.85</v>
      </c>
      <c r="C8" s="16">
        <v>154.92225597135939</v>
      </c>
      <c r="D8" s="16">
        <v>8.2105755036851527</v>
      </c>
      <c r="E8" s="16">
        <v>57.063944982107998</v>
      </c>
      <c r="F8" s="16">
        <v>20.663755903728628</v>
      </c>
      <c r="G8" s="16">
        <v>54.559083511223442</v>
      </c>
      <c r="H8" s="16">
        <v>17.116592621779663</v>
      </c>
      <c r="I8" s="16">
        <v>16.742672845265915</v>
      </c>
      <c r="J8" s="16">
        <v>88.642335977364553</v>
      </c>
      <c r="K8" s="16">
        <v>42.269442031817007</v>
      </c>
      <c r="L8" s="16">
        <v>377.74859299509524</v>
      </c>
    </row>
    <row r="9" spans="2:22" x14ac:dyDescent="0.3">
      <c r="B9" s="16">
        <v>0.9</v>
      </c>
      <c r="C9" s="16">
        <v>158.08345354249448</v>
      </c>
      <c r="D9" s="16">
        <v>8.064482664381817</v>
      </c>
      <c r="E9" s="16">
        <v>57.9507511320136</v>
      </c>
      <c r="F9" s="16">
        <v>21.022234635974197</v>
      </c>
      <c r="G9" s="16">
        <v>55.505144149590457</v>
      </c>
      <c r="H9" s="16">
        <v>17.216255892025185</v>
      </c>
      <c r="I9" s="16">
        <v>16.840179365092585</v>
      </c>
      <c r="J9" s="16">
        <v>88.264404798389421</v>
      </c>
      <c r="K9" s="16">
        <v>41.759049116660748</v>
      </c>
      <c r="L9" s="16">
        <v>373.18737344008377</v>
      </c>
    </row>
    <row r="15" spans="2:22" x14ac:dyDescent="0.3">
      <c r="B15" s="17" t="s">
        <v>241</v>
      </c>
      <c r="C15" s="17" t="s">
        <v>8</v>
      </c>
      <c r="D15" s="17" t="s">
        <v>9</v>
      </c>
      <c r="E15" s="17" t="s">
        <v>10</v>
      </c>
      <c r="F15" s="17" t="s">
        <v>11</v>
      </c>
      <c r="G15" s="17" t="s">
        <v>92</v>
      </c>
      <c r="H15" s="17" t="s">
        <v>12</v>
      </c>
      <c r="I15" s="17" t="s">
        <v>13</v>
      </c>
      <c r="J15" s="17" t="s">
        <v>93</v>
      </c>
      <c r="K15" s="17" t="s">
        <v>14</v>
      </c>
      <c r="L15" s="17" t="s">
        <v>94</v>
      </c>
      <c r="M15" s="17" t="s">
        <v>15</v>
      </c>
      <c r="N15" s="17" t="s">
        <v>16</v>
      </c>
      <c r="O15" s="17" t="s">
        <v>17</v>
      </c>
      <c r="P15" s="17" t="s">
        <v>18</v>
      </c>
      <c r="Q15" s="17" t="s">
        <v>95</v>
      </c>
      <c r="R15" s="17" t="s">
        <v>19</v>
      </c>
      <c r="S15" s="17" t="s">
        <v>96</v>
      </c>
      <c r="T15" s="17" t="s">
        <v>20</v>
      </c>
      <c r="U15" s="17" t="s">
        <v>121</v>
      </c>
      <c r="V15" s="17" t="s">
        <v>21</v>
      </c>
    </row>
    <row r="16" spans="2:22" x14ac:dyDescent="0.3">
      <c r="B16" s="16">
        <v>0.6</v>
      </c>
      <c r="C16" s="16">
        <v>17223.530390651405</v>
      </c>
      <c r="D16" s="16">
        <v>5103.7799140514026</v>
      </c>
      <c r="E16" s="16">
        <v>1542.4567100955248</v>
      </c>
      <c r="F16" s="16">
        <v>2807.373846715212</v>
      </c>
      <c r="G16" s="16">
        <v>1276.8209247155376</v>
      </c>
      <c r="H16" s="16">
        <v>1104.7199639895116</v>
      </c>
      <c r="I16" s="16">
        <v>9283.7734881358447</v>
      </c>
      <c r="J16" s="16">
        <v>103269.46782608512</v>
      </c>
      <c r="K16" s="16">
        <v>277036.14858994889</v>
      </c>
      <c r="L16" s="16">
        <v>120250.45822234853</v>
      </c>
      <c r="M16" s="16">
        <v>5.452183432965394</v>
      </c>
      <c r="N16" s="16">
        <v>3.5159669301187799</v>
      </c>
      <c r="O16" s="16">
        <v>9069.4723274985863</v>
      </c>
      <c r="P16" s="16">
        <v>3270.9717653959974</v>
      </c>
      <c r="Q16" s="16">
        <v>3.3347810802459064</v>
      </c>
      <c r="R16" s="16">
        <v>707.45619070343423</v>
      </c>
      <c r="S16" s="16">
        <v>8247.2828155752686</v>
      </c>
      <c r="T16" s="16">
        <v>692590.37147487211</v>
      </c>
      <c r="U16" s="16">
        <v>7815.0223404901808</v>
      </c>
      <c r="V16" s="16">
        <v>1006.0994414795861</v>
      </c>
    </row>
    <row r="17" spans="2:22" x14ac:dyDescent="0.3">
      <c r="B17" s="16">
        <v>0.65</v>
      </c>
      <c r="C17" s="16">
        <v>13889.07170678319</v>
      </c>
      <c r="D17" s="16">
        <v>4246.1216538053413</v>
      </c>
      <c r="E17" s="16">
        <v>1542.4567100955248</v>
      </c>
      <c r="F17" s="16">
        <v>2807.373846715212</v>
      </c>
      <c r="G17" s="16">
        <v>1246.9321510205978</v>
      </c>
      <c r="H17" s="16">
        <v>1791.6358617457445</v>
      </c>
      <c r="I17" s="16">
        <v>9173.6007419972721</v>
      </c>
      <c r="J17" s="16">
        <v>104168.42351101463</v>
      </c>
      <c r="K17" s="16">
        <v>279447.73476298235</v>
      </c>
      <c r="L17" s="16">
        <v>121347.12487858563</v>
      </c>
      <c r="M17" s="16">
        <v>5.3076931478068436</v>
      </c>
      <c r="N17" s="16">
        <v>3.386088052052231</v>
      </c>
      <c r="O17" s="16">
        <v>8681.1360766426478</v>
      </c>
      <c r="P17" s="16">
        <v>3183.8465415175647</v>
      </c>
      <c r="Q17" s="16">
        <v>3.2567627815380549</v>
      </c>
      <c r="R17" s="16">
        <v>688.15375575126609</v>
      </c>
      <c r="S17" s="16">
        <v>7989.1196836424506</v>
      </c>
      <c r="T17" s="16">
        <v>698619.33690745581</v>
      </c>
      <c r="U17" s="16">
        <v>7556.3627262476602</v>
      </c>
      <c r="V17" s="16">
        <v>894.35041221219433</v>
      </c>
    </row>
    <row r="18" spans="2:22" x14ac:dyDescent="0.3">
      <c r="B18" s="16">
        <v>0.7</v>
      </c>
      <c r="C18" s="16">
        <v>11038.113043195457</v>
      </c>
      <c r="D18" s="16">
        <v>3465.8458866495639</v>
      </c>
      <c r="E18" s="16">
        <v>1542.4567100955248</v>
      </c>
      <c r="F18" s="16">
        <v>2807.373846715212</v>
      </c>
      <c r="G18" s="16">
        <v>1220.9458553359398</v>
      </c>
      <c r="H18" s="16">
        <v>2430.7471421233495</v>
      </c>
      <c r="I18" s="16">
        <v>9066.7993777505453</v>
      </c>
      <c r="J18" s="16">
        <v>104959.96261811555</v>
      </c>
      <c r="K18" s="16">
        <v>281571.15953029942</v>
      </c>
      <c r="L18" s="16">
        <v>122313.69926104051</v>
      </c>
      <c r="M18" s="16">
        <v>5.1915365490738949</v>
      </c>
      <c r="N18" s="16">
        <v>3.2824943089030691</v>
      </c>
      <c r="O18" s="16">
        <v>8350.2774620509263</v>
      </c>
      <c r="P18" s="16">
        <v>3109.0032010434434</v>
      </c>
      <c r="Q18" s="16">
        <v>3.1889412829698629</v>
      </c>
      <c r="R18" s="16">
        <v>671.56089370621544</v>
      </c>
      <c r="S18" s="16">
        <v>7779.7332679045712</v>
      </c>
      <c r="T18" s="16">
        <v>703927.89882574859</v>
      </c>
      <c r="U18" s="16">
        <v>7335.3153665981044</v>
      </c>
      <c r="V18" s="16">
        <v>807.96407777095044</v>
      </c>
    </row>
    <row r="19" spans="2:22" x14ac:dyDescent="0.3">
      <c r="B19" s="16">
        <v>0.75</v>
      </c>
      <c r="C19" s="16">
        <v>8573.5098078967039</v>
      </c>
      <c r="D19" s="16">
        <v>2754.6230259247086</v>
      </c>
      <c r="E19" s="16">
        <v>1542.4567100955248</v>
      </c>
      <c r="F19" s="16">
        <v>2807.373846715212</v>
      </c>
      <c r="G19" s="16">
        <v>1198.1746826835815</v>
      </c>
      <c r="H19" s="16">
        <v>3023.7047411040985</v>
      </c>
      <c r="I19" s="16">
        <v>8965.1619450556045</v>
      </c>
      <c r="J19" s="16">
        <v>105662.76220008062</v>
      </c>
      <c r="K19" s="16">
        <v>283456.52694350353</v>
      </c>
      <c r="L19" s="16">
        <v>123172.65806338149</v>
      </c>
      <c r="M19" s="16">
        <v>5.096464270286817</v>
      </c>
      <c r="N19" s="16">
        <v>3.1982574572705684</v>
      </c>
      <c r="O19" s="16">
        <v>8065.4790637428705</v>
      </c>
      <c r="P19" s="16">
        <v>3044.0567601831735</v>
      </c>
      <c r="Q19" s="16">
        <v>3.1295180860384573</v>
      </c>
      <c r="R19" s="16">
        <v>657.15647747574963</v>
      </c>
      <c r="S19" s="16">
        <v>7607.0502213785421</v>
      </c>
      <c r="T19" s="16">
        <v>708641.31735875877</v>
      </c>
      <c r="U19" s="16">
        <v>7144.4132278211982</v>
      </c>
      <c r="V19" s="16">
        <v>739.74586195580275</v>
      </c>
    </row>
    <row r="20" spans="2:22" x14ac:dyDescent="0.3">
      <c r="B20" s="16">
        <v>0.8</v>
      </c>
      <c r="C20" s="16">
        <v>6422.209445343934</v>
      </c>
      <c r="D20" s="16">
        <v>2104.9796883973145</v>
      </c>
      <c r="E20" s="16">
        <v>1542.4567100955248</v>
      </c>
      <c r="F20" s="16">
        <v>2807.373846715212</v>
      </c>
      <c r="G20" s="16">
        <v>1178.0770331275444</v>
      </c>
      <c r="H20" s="16">
        <v>3573.3140356715885</v>
      </c>
      <c r="I20" s="16">
        <v>8869.4633253153861</v>
      </c>
      <c r="J20" s="16">
        <v>106291.27448128449</v>
      </c>
      <c r="K20" s="16">
        <v>285142.60730579839</v>
      </c>
      <c r="L20" s="16">
        <v>123941.42024869514</v>
      </c>
      <c r="M20" s="16">
        <v>5.0174435715414933</v>
      </c>
      <c r="N20" s="16">
        <v>3.1286281242784804</v>
      </c>
      <c r="O20" s="16">
        <v>7818.055233211242</v>
      </c>
      <c r="P20" s="16">
        <v>2987.1979399961638</v>
      </c>
      <c r="Q20" s="16">
        <v>3.0770782045324996</v>
      </c>
      <c r="R20" s="16">
        <v>644.5429633076667</v>
      </c>
      <c r="S20" s="16">
        <v>7462.5927103847625</v>
      </c>
      <c r="T20" s="16">
        <v>712856.518264496</v>
      </c>
      <c r="U20" s="16">
        <v>6978.0111597711339</v>
      </c>
      <c r="V20" s="16">
        <v>684.87812040966435</v>
      </c>
    </row>
    <row r="21" spans="2:22" x14ac:dyDescent="0.3">
      <c r="B21" s="16">
        <v>0.85</v>
      </c>
      <c r="C21" s="16">
        <v>4528.3030015852082</v>
      </c>
      <c r="D21" s="16">
        <v>1510.2579346330949</v>
      </c>
      <c r="E21" s="16">
        <v>1542.4567100955248</v>
      </c>
      <c r="F21" s="16">
        <v>2807.373846715212</v>
      </c>
      <c r="G21" s="16">
        <v>1160.2238689842616</v>
      </c>
      <c r="H21" s="16">
        <v>4082.8254225992714</v>
      </c>
      <c r="I21" s="16">
        <v>8779.9064915337567</v>
      </c>
      <c r="J21" s="16">
        <v>106856.89298365323</v>
      </c>
      <c r="K21" s="16">
        <v>286659.96548306081</v>
      </c>
      <c r="L21" s="16">
        <v>124633.73733801451</v>
      </c>
      <c r="M21" s="16">
        <v>4.9508860722283314</v>
      </c>
      <c r="N21" s="16">
        <v>3.0702561566529161</v>
      </c>
      <c r="O21" s="16">
        <v>7601.3579951351512</v>
      </c>
      <c r="P21" s="16">
        <v>2937.0284324878266</v>
      </c>
      <c r="Q21" s="16">
        <v>3.0304971860907428</v>
      </c>
      <c r="R21" s="16">
        <v>633.41219883005499</v>
      </c>
      <c r="S21" s="16">
        <v>7340.2510260677755</v>
      </c>
      <c r="T21" s="16">
        <v>716649.91370765201</v>
      </c>
      <c r="U21" s="16">
        <v>6831.7671188620152</v>
      </c>
      <c r="V21" s="16">
        <v>639.99376475609347</v>
      </c>
    </row>
    <row r="22" spans="2:22" x14ac:dyDescent="0.3">
      <c r="B22" s="16">
        <v>0.9</v>
      </c>
      <c r="C22" s="16">
        <v>2848.3263976414578</v>
      </c>
      <c r="D22" s="16">
        <v>964.55767849983272</v>
      </c>
      <c r="E22" s="16">
        <v>1542.4567100955248</v>
      </c>
      <c r="F22" s="16">
        <v>2807.373846715212</v>
      </c>
      <c r="G22" s="16">
        <v>1144.2692953722533</v>
      </c>
      <c r="H22" s="16">
        <v>4555.56180201401</v>
      </c>
      <c r="I22" s="16">
        <v>8696.3788936835081</v>
      </c>
      <c r="J22" s="16">
        <v>107368.74274104465</v>
      </c>
      <c r="K22" s="16">
        <v>288033.08077482571</v>
      </c>
      <c r="L22" s="16">
        <v>125260.63692308396</v>
      </c>
      <c r="M22" s="16">
        <v>4.894172640608538</v>
      </c>
      <c r="N22" s="16">
        <v>3.020718766159987</v>
      </c>
      <c r="O22" s="16">
        <v>7410.8411867897976</v>
      </c>
      <c r="P22" s="16">
        <v>2892.4513865002973</v>
      </c>
      <c r="Q22" s="16">
        <v>2.9888726843513251</v>
      </c>
      <c r="R22" s="16">
        <v>623.52189457161796</v>
      </c>
      <c r="S22" s="16">
        <v>7235.5211540738865</v>
      </c>
      <c r="T22" s="16">
        <v>720082.70193706418</v>
      </c>
      <c r="U22" s="16">
        <v>6702.294145079939</v>
      </c>
      <c r="V22" s="16">
        <v>602.06487777685288</v>
      </c>
    </row>
    <row r="28" spans="2:22" x14ac:dyDescent="0.3">
      <c r="B28" s="17" t="s">
        <v>241</v>
      </c>
      <c r="C28" s="17" t="s">
        <v>118</v>
      </c>
      <c r="D28" s="17" t="s">
        <v>119</v>
      </c>
      <c r="E28" s="17" t="s">
        <v>120</v>
      </c>
      <c r="F28" s="17" t="s">
        <v>123</v>
      </c>
      <c r="G28" s="17" t="s">
        <v>125</v>
      </c>
      <c r="H28" s="17" t="s">
        <v>124</v>
      </c>
    </row>
    <row r="29" spans="2:22" x14ac:dyDescent="0.3">
      <c r="B29" s="16">
        <v>0.6</v>
      </c>
      <c r="C29" s="16">
        <v>0.82013995810863238</v>
      </c>
      <c r="D29" s="16">
        <v>4.5972636053374432</v>
      </c>
      <c r="E29" s="16">
        <v>0.21752070053998984</v>
      </c>
      <c r="F29" s="16">
        <v>1.3347972360860334E-2</v>
      </c>
      <c r="G29" s="16">
        <v>0.77739435509875499</v>
      </c>
      <c r="H29" s="16">
        <v>17.986004189136761</v>
      </c>
      <c r="I29" s="16">
        <v>0.39256551077722535</v>
      </c>
      <c r="J29" s="16">
        <v>2.0829472070598287</v>
      </c>
      <c r="K29" s="16">
        <v>0.28180602931711179</v>
      </c>
      <c r="L29" s="16">
        <v>568021.03824784374</v>
      </c>
    </row>
    <row r="30" spans="2:22" x14ac:dyDescent="0.3">
      <c r="B30" s="16">
        <v>0.65</v>
      </c>
      <c r="C30" s="16">
        <v>0.81270445170592143</v>
      </c>
      <c r="D30" s="16">
        <v>4.3692443410980131</v>
      </c>
      <c r="E30" s="16">
        <v>0.22887252850425274</v>
      </c>
      <c r="F30" s="16">
        <v>1.3291196355712501E-2</v>
      </c>
      <c r="G30" s="16">
        <v>0.77428246225660224</v>
      </c>
      <c r="H30" s="16">
        <v>18.729554829407846</v>
      </c>
      <c r="I30" s="16">
        <v>0.37412604036228386</v>
      </c>
      <c r="J30" s="16">
        <v>1.9926727538831934</v>
      </c>
      <c r="K30" s="16">
        <v>0.27029641704932589</v>
      </c>
      <c r="L30" s="16">
        <v>567771.04515252833</v>
      </c>
    </row>
    <row r="31" spans="2:22" x14ac:dyDescent="0.3">
      <c r="B31" s="16">
        <v>0.7</v>
      </c>
      <c r="C31" s="16">
        <v>0.80643863864712118</v>
      </c>
      <c r="D31" s="16">
        <v>4.191378205075269</v>
      </c>
      <c r="E31" s="16">
        <v>0.23858500738232519</v>
      </c>
      <c r="F31" s="16">
        <v>1.3259884166837736E-2</v>
      </c>
      <c r="G31" s="16">
        <v>0.77256624118437633</v>
      </c>
      <c r="H31" s="16">
        <v>19.356136135287894</v>
      </c>
      <c r="I31" s="16">
        <v>0.35971940225036453</v>
      </c>
      <c r="J31" s="16">
        <v>1.9200491681929024</v>
      </c>
      <c r="K31" s="16">
        <v>0.26115196917136718</v>
      </c>
      <c r="L31" s="16">
        <v>567674.65643476509</v>
      </c>
    </row>
    <row r="32" spans="2:22" x14ac:dyDescent="0.3">
      <c r="B32" s="16">
        <v>0.75</v>
      </c>
      <c r="C32" s="16">
        <v>0.80109149445693062</v>
      </c>
      <c r="D32" s="16">
        <v>4.0488728358535688</v>
      </c>
      <c r="E32" s="16">
        <v>0.24698231842324175</v>
      </c>
      <c r="F32" s="16">
        <v>1.3246821447386169E-2</v>
      </c>
      <c r="G32" s="16">
        <v>0.77185027353123592</v>
      </c>
      <c r="H32" s="16">
        <v>19.890850554306937</v>
      </c>
      <c r="I32" s="16">
        <v>0.34818280949217234</v>
      </c>
      <c r="J32" s="16">
        <v>1.8604600227922072</v>
      </c>
      <c r="K32" s="16">
        <v>0.25373656750511175</v>
      </c>
      <c r="L32" s="16">
        <v>567686.53195685614</v>
      </c>
    </row>
    <row r="33" spans="2:12" x14ac:dyDescent="0.3">
      <c r="B33" s="16">
        <v>0.8</v>
      </c>
      <c r="C33" s="16">
        <v>0.79647837219656359</v>
      </c>
      <c r="D33" s="16">
        <v>3.9322189089487511</v>
      </c>
      <c r="E33" s="16">
        <v>0.25430934115195086</v>
      </c>
      <c r="F33" s="16">
        <v>1.3247346740240681E-2</v>
      </c>
      <c r="G33" s="16">
        <v>0.77187906483259183</v>
      </c>
      <c r="H33" s="16">
        <v>20.35216278034363</v>
      </c>
      <c r="I33" s="16">
        <v>0.33879918838150858</v>
      </c>
      <c r="J33" s="16">
        <v>1.8109826194536935</v>
      </c>
      <c r="K33" s="16">
        <v>0.24765770129014694</v>
      </c>
      <c r="L33" s="16">
        <v>567774.79927701573</v>
      </c>
    </row>
    <row r="34" spans="2:12" x14ac:dyDescent="0.3">
      <c r="B34" s="16">
        <v>0.85</v>
      </c>
      <c r="C34" s="16">
        <v>0.79246058728103996</v>
      </c>
      <c r="D34" s="16">
        <v>3.8350268507481067</v>
      </c>
      <c r="E34" s="16">
        <v>0.26075436728817891</v>
      </c>
      <c r="F34" s="16">
        <v>1.3258314031391686E-2</v>
      </c>
      <c r="G34" s="16">
        <v>0.77248018206057834</v>
      </c>
      <c r="H34" s="16">
        <v>20.753941271896004</v>
      </c>
      <c r="I34" s="16">
        <v>0.33121770977860687</v>
      </c>
      <c r="J34" s="16">
        <v>1.7702954044804526</v>
      </c>
      <c r="K34" s="16">
        <v>0.24276579170183107</v>
      </c>
      <c r="L34" s="16">
        <v>567916.81149167253</v>
      </c>
    </row>
    <row r="35" spans="2:12" x14ac:dyDescent="0.3">
      <c r="B35" s="16">
        <v>0.9</v>
      </c>
      <c r="C35" s="16">
        <v>0.78893287821783398</v>
      </c>
      <c r="D35" s="16">
        <v>3.752849741614892</v>
      </c>
      <c r="E35" s="16">
        <v>0.26646417225585195</v>
      </c>
      <c r="F35" s="16">
        <v>1.3277549695321836E-2</v>
      </c>
      <c r="G35" s="16">
        <v>0.77353448880058984</v>
      </c>
      <c r="H35" s="16">
        <v>21.106712178216604</v>
      </c>
      <c r="I35" s="16">
        <v>0.32683276216154017</v>
      </c>
      <c r="J35" s="16">
        <v>1.7463699853830885</v>
      </c>
      <c r="K35" s="16">
        <v>0.24046161927493348</v>
      </c>
      <c r="L35" s="16">
        <v>568096.9185940827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91C93-8228-4E85-B9E3-FB80BE715EB6}">
  <dimension ref="B2:Y44"/>
  <sheetViews>
    <sheetView topLeftCell="J1" zoomScale="86" zoomScaleNormal="55" workbookViewId="0">
      <selection activeCell="T25" sqref="T25"/>
    </sheetView>
  </sheetViews>
  <sheetFormatPr baseColWidth="10" defaultRowHeight="14.4" x14ac:dyDescent="0.3"/>
  <cols>
    <col min="2" max="2" width="11.5546875" style="32"/>
    <col min="4" max="4" width="11.5546875" style="2"/>
    <col min="11" max="11" width="18.88671875" bestFit="1" customWidth="1"/>
    <col min="12" max="12" width="20" bestFit="1" customWidth="1"/>
    <col min="13" max="13" width="13.21875" bestFit="1" customWidth="1"/>
    <col min="14" max="14" width="14.44140625" bestFit="1" customWidth="1"/>
    <col min="17" max="17" width="24.109375" customWidth="1"/>
    <col min="18" max="18" width="14.109375" bestFit="1" customWidth="1"/>
    <col min="19" max="19" width="14.6640625" customWidth="1"/>
    <col min="20" max="20" width="13.6640625" bestFit="1" customWidth="1"/>
  </cols>
  <sheetData>
    <row r="2" spans="2:18" x14ac:dyDescent="0.3">
      <c r="B2" s="30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1" t="s">
        <v>27</v>
      </c>
      <c r="H2" s="1" t="s">
        <v>57</v>
      </c>
      <c r="I2" s="1" t="s">
        <v>0</v>
      </c>
      <c r="K2" s="36" t="s">
        <v>56</v>
      </c>
      <c r="L2" s="36"/>
      <c r="N2" s="36" t="s">
        <v>65</v>
      </c>
      <c r="O2" s="36"/>
      <c r="Q2" s="36" t="s">
        <v>116</v>
      </c>
      <c r="R2" s="36"/>
    </row>
    <row r="3" spans="2:18" x14ac:dyDescent="0.3">
      <c r="B3" s="31">
        <v>1</v>
      </c>
      <c r="C3" s="3">
        <v>1073.1500000000001</v>
      </c>
      <c r="D3" s="4">
        <v>25</v>
      </c>
      <c r="E3" s="3">
        <v>1350.0381316636626</v>
      </c>
      <c r="F3" s="6">
        <v>3.0305681085599816</v>
      </c>
      <c r="G3" s="3">
        <v>1000</v>
      </c>
      <c r="H3" s="3">
        <v>756.61237274082237</v>
      </c>
      <c r="I3" s="3">
        <f>C3-273.15</f>
        <v>800.00000000000011</v>
      </c>
      <c r="K3" s="7" t="s">
        <v>40</v>
      </c>
      <c r="L3" s="7" t="s">
        <v>41</v>
      </c>
      <c r="N3" s="7" t="s">
        <v>40</v>
      </c>
      <c r="O3" s="7" t="s">
        <v>41</v>
      </c>
      <c r="Q3" s="20" t="s">
        <v>40</v>
      </c>
      <c r="R3" s="20" t="s">
        <v>41</v>
      </c>
    </row>
    <row r="4" spans="2:18" x14ac:dyDescent="0.3">
      <c r="B4" s="31">
        <v>2</v>
      </c>
      <c r="C4" s="3">
        <v>1018.1871360117831</v>
      </c>
      <c r="D4" s="4">
        <v>17.482517482517483</v>
      </c>
      <c r="E4" s="3">
        <v>1281.3081492359206</v>
      </c>
      <c r="F4" s="6">
        <v>3.0357375517463359</v>
      </c>
      <c r="G4" s="3">
        <v>1000</v>
      </c>
      <c r="H4" s="3">
        <v>686.34112082706883</v>
      </c>
      <c r="I4" s="3">
        <f t="shared" ref="I4:I44" si="0">C4-273.15</f>
        <v>745.0371360117831</v>
      </c>
      <c r="K4" s="8" t="s">
        <v>42</v>
      </c>
      <c r="L4" s="6">
        <v>179.67369630276852</v>
      </c>
      <c r="N4" s="8" t="s">
        <v>66</v>
      </c>
      <c r="O4" s="9">
        <v>68729.982427742099</v>
      </c>
      <c r="Q4" s="12" t="s">
        <v>98</v>
      </c>
      <c r="R4" s="5">
        <v>6393.9317076702955</v>
      </c>
    </row>
    <row r="5" spans="2:18" x14ac:dyDescent="0.3">
      <c r="B5" s="31">
        <v>3</v>
      </c>
      <c r="C5" s="3">
        <v>1073.1500000000001</v>
      </c>
      <c r="D5" s="4">
        <v>17.482517482517483</v>
      </c>
      <c r="E5" s="3">
        <v>1351.4823193165744</v>
      </c>
      <c r="F5" s="6">
        <v>3.1028601038812176</v>
      </c>
      <c r="G5" s="3">
        <v>1000</v>
      </c>
      <c r="H5" s="3">
        <v>736.50270198870771</v>
      </c>
      <c r="I5" s="3">
        <f t="shared" si="0"/>
        <v>800.00000000000011</v>
      </c>
      <c r="K5" s="8" t="s">
        <v>43</v>
      </c>
      <c r="L5" s="6">
        <v>70.174170080653866</v>
      </c>
      <c r="N5" s="8" t="s">
        <v>67</v>
      </c>
      <c r="O5" s="9">
        <v>119784.56764170597</v>
      </c>
      <c r="Q5" s="12" t="s">
        <v>99</v>
      </c>
      <c r="R5" s="5">
        <v>7601.6529923868393</v>
      </c>
    </row>
    <row r="6" spans="2:18" x14ac:dyDescent="0.3">
      <c r="B6" s="31">
        <v>4</v>
      </c>
      <c r="C6" s="3">
        <v>976.21764828798996</v>
      </c>
      <c r="D6" s="4">
        <v>9.1240875912408761</v>
      </c>
      <c r="E6" s="3">
        <v>1231.6977516748684</v>
      </c>
      <c r="F6" s="6">
        <v>3.112273260172465</v>
      </c>
      <c r="G6" s="3">
        <v>1000</v>
      </c>
      <c r="H6" s="3">
        <v>613.91160179876624</v>
      </c>
      <c r="I6" s="3">
        <f t="shared" si="0"/>
        <v>703.06764828798998</v>
      </c>
      <c r="K6" s="12" t="s">
        <v>47</v>
      </c>
      <c r="L6" s="6">
        <v>249.84786638342237</v>
      </c>
      <c r="N6" s="8" t="s">
        <v>68</v>
      </c>
      <c r="O6" s="9">
        <v>7577.9874552343463</v>
      </c>
      <c r="Q6" s="12" t="s">
        <v>100</v>
      </c>
      <c r="R6" s="5">
        <v>315741.08336552046</v>
      </c>
    </row>
    <row r="7" spans="2:18" x14ac:dyDescent="0.3">
      <c r="B7" s="31">
        <v>5</v>
      </c>
      <c r="C7" s="3">
        <v>580.60739984606084</v>
      </c>
      <c r="D7" s="4">
        <v>9.1240875912408761</v>
      </c>
      <c r="E7" s="3">
        <v>758.77316593152807</v>
      </c>
      <c r="F7" s="6">
        <v>2.493493145865219</v>
      </c>
      <c r="G7" s="3">
        <v>1000</v>
      </c>
      <c r="H7" s="3">
        <v>325.47630713613137</v>
      </c>
      <c r="I7" s="3">
        <f t="shared" si="0"/>
        <v>307.45739984606087</v>
      </c>
      <c r="K7" s="8" t="s">
        <v>44</v>
      </c>
      <c r="L7" s="6">
        <v>485.05085709943228</v>
      </c>
      <c r="N7" s="8" t="s">
        <v>69</v>
      </c>
      <c r="O7" s="9">
        <v>-38640.801901504477</v>
      </c>
      <c r="Q7" s="12" t="s">
        <v>105</v>
      </c>
      <c r="R7" s="5">
        <v>82524.716891440621</v>
      </c>
    </row>
    <row r="8" spans="2:18" x14ac:dyDescent="0.3">
      <c r="B8" s="31">
        <v>6</v>
      </c>
      <c r="C8" s="3">
        <v>435.4382571755965</v>
      </c>
      <c r="D8" s="4">
        <v>9.1240875912408761</v>
      </c>
      <c r="E8" s="3">
        <v>591.20237940579909</v>
      </c>
      <c r="F8" s="6">
        <v>2.1610567826542426</v>
      </c>
      <c r="G8" s="3">
        <v>1000</v>
      </c>
      <c r="H8" s="3">
        <v>257.02142230175508</v>
      </c>
      <c r="I8" s="3">
        <f t="shared" si="0"/>
        <v>162.28825717559653</v>
      </c>
      <c r="K8" s="8" t="s">
        <v>45</v>
      </c>
      <c r="L8" s="6">
        <v>167.57078652572901</v>
      </c>
      <c r="N8" s="8" t="s">
        <v>70</v>
      </c>
      <c r="O8" s="9">
        <v>-18872.729900081154</v>
      </c>
      <c r="Q8" s="12" t="s">
        <v>104</v>
      </c>
      <c r="R8" s="5">
        <v>619.2519616594775</v>
      </c>
    </row>
    <row r="9" spans="2:18" x14ac:dyDescent="0.3">
      <c r="B9" s="31" t="s">
        <v>29</v>
      </c>
      <c r="C9" s="3">
        <v>435.4382571755965</v>
      </c>
      <c r="D9" s="4">
        <v>9.1240875912408761</v>
      </c>
      <c r="E9" s="3">
        <v>591.20237940579909</v>
      </c>
      <c r="F9" s="6">
        <v>2.1610567826542426</v>
      </c>
      <c r="G9" s="3">
        <v>799.46350834994291</v>
      </c>
      <c r="H9" s="3">
        <v>257.02142230175508</v>
      </c>
      <c r="I9" s="3">
        <f t="shared" si="0"/>
        <v>162.28825717559653</v>
      </c>
      <c r="K9" s="8" t="s">
        <v>48</v>
      </c>
      <c r="L9" s="6">
        <v>1.6390047735298752</v>
      </c>
      <c r="N9" s="8" t="s">
        <v>71</v>
      </c>
      <c r="O9" s="9">
        <v>-19.869341720783179</v>
      </c>
      <c r="Q9" s="12" t="s">
        <v>101</v>
      </c>
      <c r="R9" s="5">
        <v>47345560.666325219</v>
      </c>
    </row>
    <row r="10" spans="2:18" x14ac:dyDescent="0.3">
      <c r="B10" s="31" t="s">
        <v>30</v>
      </c>
      <c r="C10" s="3">
        <v>423.08708102866973</v>
      </c>
      <c r="D10" s="4">
        <v>9.1240875912408761</v>
      </c>
      <c r="E10" s="3">
        <v>576.26858667218778</v>
      </c>
      <c r="F10" s="6">
        <v>2.1262634543808296</v>
      </c>
      <c r="G10" s="3">
        <v>799.46350834994291</v>
      </c>
      <c r="H10" s="3">
        <v>252.47508976842693</v>
      </c>
      <c r="I10" s="3">
        <f t="shared" si="0"/>
        <v>149.93708102866975</v>
      </c>
      <c r="K10" s="8" t="s">
        <v>49</v>
      </c>
      <c r="L10" s="6">
        <v>61.926848784763543</v>
      </c>
      <c r="N10" s="8" t="s">
        <v>72</v>
      </c>
      <c r="O10" s="9">
        <v>131001.01826786241</v>
      </c>
      <c r="Q10" s="12" t="s">
        <v>102</v>
      </c>
      <c r="R10" s="5">
        <v>4474545.5721388133</v>
      </c>
    </row>
    <row r="11" spans="2:18" x14ac:dyDescent="0.3">
      <c r="B11" s="32" t="s">
        <v>31</v>
      </c>
      <c r="C11" s="3">
        <v>362.94904708723425</v>
      </c>
      <c r="D11" s="4">
        <v>9.1240875912408761</v>
      </c>
      <c r="E11" s="3">
        <v>496.03640269284398</v>
      </c>
      <c r="F11" s="6">
        <v>1.9211337971705802</v>
      </c>
      <c r="G11" s="3">
        <v>799.46350834994291</v>
      </c>
      <c r="H11" s="3">
        <v>233.40231308631894</v>
      </c>
      <c r="I11" s="3">
        <f t="shared" si="0"/>
        <v>89.799047087234271</v>
      </c>
      <c r="K11" s="8" t="s">
        <v>50</v>
      </c>
      <c r="L11" s="6">
        <v>12.71856373471684</v>
      </c>
      <c r="N11" s="8" t="s">
        <v>73</v>
      </c>
      <c r="O11" s="9">
        <v>7558.118113513563</v>
      </c>
      <c r="Q11" s="12" t="s">
        <v>103</v>
      </c>
      <c r="R11" s="5">
        <v>7798365.2522427328</v>
      </c>
    </row>
    <row r="12" spans="2:18" x14ac:dyDescent="0.3">
      <c r="B12" s="31" t="s">
        <v>32</v>
      </c>
      <c r="C12" s="3">
        <v>361.35738649679638</v>
      </c>
      <c r="D12" s="4">
        <v>9.1240875912408761</v>
      </c>
      <c r="E12" s="3">
        <v>493.57294248449631</v>
      </c>
      <c r="F12" s="6">
        <v>1.9143314943410128</v>
      </c>
      <c r="G12" s="3">
        <v>799.46350834994291</v>
      </c>
      <c r="H12" s="3">
        <v>232.96695946660682</v>
      </c>
      <c r="I12" s="3">
        <f t="shared" si="0"/>
        <v>88.207386496796403</v>
      </c>
      <c r="K12" s="8" t="s">
        <v>51</v>
      </c>
      <c r="L12" s="6">
        <v>76.284417293010264</v>
      </c>
      <c r="N12" s="10" t="s">
        <v>74</v>
      </c>
      <c r="O12" s="11">
        <v>138559.13638137598</v>
      </c>
      <c r="Q12" s="12" t="s">
        <v>106</v>
      </c>
      <c r="R12" s="5">
        <v>493351.64968492277</v>
      </c>
    </row>
    <row r="13" spans="2:18" x14ac:dyDescent="0.3">
      <c r="B13" s="31" t="s">
        <v>33</v>
      </c>
      <c r="C13" s="3">
        <v>357.9147949404603</v>
      </c>
      <c r="D13" s="4">
        <v>9.1240875912408761</v>
      </c>
      <c r="E13" s="3">
        <v>488.12887620074639</v>
      </c>
      <c r="F13" s="6">
        <v>1.8991933019420426</v>
      </c>
      <c r="G13" s="3">
        <v>799.46350834994291</v>
      </c>
      <c r="H13" s="3">
        <v>232.03634524660981</v>
      </c>
      <c r="I13" s="3">
        <f t="shared" si="0"/>
        <v>84.76479494046032</v>
      </c>
      <c r="K13" s="8" t="s">
        <v>52</v>
      </c>
      <c r="L13" s="6">
        <v>66.529786632388294</v>
      </c>
      <c r="Q13" s="12" t="s">
        <v>107</v>
      </c>
      <c r="R13" s="5">
        <v>1128196.8455462928</v>
      </c>
    </row>
    <row r="14" spans="2:18" x14ac:dyDescent="0.3">
      <c r="B14" s="31" t="s">
        <v>34</v>
      </c>
      <c r="C14" s="3">
        <v>435.4382571755965</v>
      </c>
      <c r="D14" s="4">
        <v>9.1240875912408761</v>
      </c>
      <c r="E14" s="3">
        <v>591.20237940579909</v>
      </c>
      <c r="F14" s="6">
        <v>2.1610567826542426</v>
      </c>
      <c r="G14" s="3">
        <v>200.53649165005706</v>
      </c>
      <c r="H14" s="3">
        <v>257.02142230175508</v>
      </c>
      <c r="I14" s="3">
        <f t="shared" si="0"/>
        <v>162.28825717559653</v>
      </c>
      <c r="K14" s="8" t="s">
        <v>54</v>
      </c>
      <c r="L14" s="6">
        <v>2.1965125471084219</v>
      </c>
      <c r="N14" s="37" t="s">
        <v>75</v>
      </c>
      <c r="O14" s="37"/>
      <c r="Q14" s="12" t="s">
        <v>108</v>
      </c>
      <c r="R14" s="5">
        <v>551027.75543821603</v>
      </c>
    </row>
    <row r="15" spans="2:18" x14ac:dyDescent="0.3">
      <c r="B15" s="31">
        <v>7</v>
      </c>
      <c r="C15" s="3">
        <v>328.15</v>
      </c>
      <c r="D15" s="4">
        <v>9.1240875912408761</v>
      </c>
      <c r="E15" s="3">
        <v>427.37611738856413</v>
      </c>
      <c r="F15" s="6">
        <v>1.72122584179495</v>
      </c>
      <c r="G15" s="3">
        <v>799.46350834994291</v>
      </c>
      <c r="H15" s="3">
        <v>224.33075530171814</v>
      </c>
      <c r="I15" s="3">
        <f t="shared" si="0"/>
        <v>55</v>
      </c>
      <c r="K15" s="8" t="s">
        <v>53</v>
      </c>
      <c r="L15" s="6">
        <v>68.726299179496721</v>
      </c>
      <c r="N15" s="8" t="s">
        <v>80</v>
      </c>
      <c r="O15" s="9">
        <v>9.9078139175955826</v>
      </c>
      <c r="Q15" s="12" t="s">
        <v>109</v>
      </c>
      <c r="R15" s="5">
        <v>580.12586564866683</v>
      </c>
    </row>
    <row r="16" spans="2:18" x14ac:dyDescent="0.3">
      <c r="B16" s="31">
        <v>8</v>
      </c>
      <c r="C16" s="3">
        <v>407.92598052767181</v>
      </c>
      <c r="D16" s="4">
        <v>25</v>
      </c>
      <c r="E16" s="3">
        <v>475.70953285771714</v>
      </c>
      <c r="F16" s="6">
        <v>1.7343043486568708</v>
      </c>
      <c r="G16" s="3">
        <v>799.46350834994291</v>
      </c>
      <c r="H16" s="3">
        <v>268.76481394998945</v>
      </c>
      <c r="I16" s="3">
        <f t="shared" si="0"/>
        <v>134.77598052767183</v>
      </c>
      <c r="K16" s="8" t="s">
        <v>46</v>
      </c>
      <c r="L16" s="6">
        <v>4.3523323308963686</v>
      </c>
      <c r="N16" s="8" t="s">
        <v>81</v>
      </c>
      <c r="O16" s="9">
        <v>52.432314177470374</v>
      </c>
      <c r="Q16" s="12" t="s">
        <v>110</v>
      </c>
      <c r="R16" s="5">
        <v>1536510.4402931174</v>
      </c>
    </row>
    <row r="17" spans="2:25" x14ac:dyDescent="0.3">
      <c r="B17" s="31">
        <v>9</v>
      </c>
      <c r="C17" s="3">
        <v>547.69370647629023</v>
      </c>
      <c r="D17" s="4">
        <v>25</v>
      </c>
      <c r="E17" s="3">
        <v>685.31357954095802</v>
      </c>
      <c r="F17" s="6">
        <v>2.180095650521598</v>
      </c>
      <c r="G17" s="3">
        <v>799.46350834994291</v>
      </c>
      <c r="H17" s="3">
        <v>345.4561839822619</v>
      </c>
      <c r="I17" s="3">
        <f t="shared" si="0"/>
        <v>274.54370647629025</v>
      </c>
      <c r="K17" s="8" t="s">
        <v>55</v>
      </c>
      <c r="L17" s="6">
        <v>-48.569613693804691</v>
      </c>
      <c r="N17" s="8" t="s">
        <v>82</v>
      </c>
      <c r="O17" s="9">
        <v>17.366718295380426</v>
      </c>
      <c r="Q17" s="12" t="s">
        <v>111</v>
      </c>
      <c r="R17" s="5">
        <v>1183381.5514604528</v>
      </c>
    </row>
    <row r="18" spans="2:25" x14ac:dyDescent="0.3">
      <c r="B18" s="31">
        <v>10</v>
      </c>
      <c r="C18" s="3">
        <v>547.69370647629023</v>
      </c>
      <c r="D18" s="4">
        <v>25</v>
      </c>
      <c r="E18" s="3">
        <v>685.31357954095802</v>
      </c>
      <c r="F18" s="6">
        <v>2.180095650521598</v>
      </c>
      <c r="G18" s="3">
        <v>200.53649165005706</v>
      </c>
      <c r="H18" s="3">
        <v>345.4561839822619</v>
      </c>
      <c r="I18" s="3">
        <f t="shared" si="0"/>
        <v>274.54370647629025</v>
      </c>
      <c r="K18" s="10" t="s">
        <v>248</v>
      </c>
      <c r="L18" s="15">
        <v>7.1463166549765617E-2</v>
      </c>
      <c r="N18" s="8" t="s">
        <v>83</v>
      </c>
      <c r="O18" s="9">
        <v>52.95934806076604</v>
      </c>
      <c r="Q18" s="12" t="s">
        <v>112</v>
      </c>
      <c r="R18" s="5">
        <v>204873108.96594325</v>
      </c>
      <c r="V18" s="5">
        <f>R23-R9-R6</f>
        <v>209111725.97569132</v>
      </c>
    </row>
    <row r="19" spans="2:25" x14ac:dyDescent="0.3">
      <c r="B19" s="31">
        <v>11</v>
      </c>
      <c r="C19" s="3">
        <v>547.69370647629023</v>
      </c>
      <c r="D19" s="4">
        <v>25</v>
      </c>
      <c r="E19" s="3">
        <v>685.31357954095802</v>
      </c>
      <c r="F19" s="6">
        <v>2.180095650521598</v>
      </c>
      <c r="G19" s="3">
        <v>1000</v>
      </c>
      <c r="H19" s="3">
        <v>345.4561839822619</v>
      </c>
      <c r="I19" s="3">
        <f t="shared" si="0"/>
        <v>274.54370647629025</v>
      </c>
      <c r="K19" s="37" t="s">
        <v>58</v>
      </c>
      <c r="L19" s="37"/>
      <c r="N19" s="8" t="s">
        <v>84</v>
      </c>
      <c r="O19" s="9">
        <v>55.457402293257886</v>
      </c>
      <c r="Q19" s="12" t="s">
        <v>122</v>
      </c>
      <c r="R19" s="5">
        <v>287036742.70045835</v>
      </c>
    </row>
    <row r="20" spans="2:25" x14ac:dyDescent="0.3">
      <c r="B20" s="31">
        <v>12</v>
      </c>
      <c r="C20" s="3">
        <v>932.93660164805476</v>
      </c>
      <c r="D20" s="4">
        <v>25</v>
      </c>
      <c r="E20" s="3">
        <v>1170.364435360894</v>
      </c>
      <c r="F20" s="6">
        <v>2.8511829889834956</v>
      </c>
      <c r="G20" s="3">
        <v>1000</v>
      </c>
      <c r="H20" s="3">
        <v>630.42234983978312</v>
      </c>
      <c r="I20" s="3">
        <f t="shared" si="0"/>
        <v>659.78660164805478</v>
      </c>
      <c r="K20" s="12" t="s">
        <v>59</v>
      </c>
      <c r="L20" s="3">
        <v>10711.871306183628</v>
      </c>
      <c r="N20" s="8" t="s">
        <v>85</v>
      </c>
      <c r="O20" s="9">
        <v>39.302426699184615</v>
      </c>
      <c r="Q20" s="12" t="s">
        <v>250</v>
      </c>
      <c r="R20">
        <v>1.3892468513357714</v>
      </c>
    </row>
    <row r="21" spans="2:25" x14ac:dyDescent="0.3">
      <c r="B21" s="31">
        <v>17</v>
      </c>
      <c r="C21" s="3">
        <v>313.14999999999998</v>
      </c>
      <c r="D21" s="4">
        <v>24.626111643110118</v>
      </c>
      <c r="E21" s="3">
        <v>-83.029464432834615</v>
      </c>
      <c r="F21" s="6">
        <v>-0.248662394286851</v>
      </c>
      <c r="G21" s="3">
        <v>173.63365867730425</v>
      </c>
      <c r="H21" s="3">
        <v>0.58853908566031532</v>
      </c>
      <c r="I21" s="3">
        <f t="shared" si="0"/>
        <v>40</v>
      </c>
      <c r="K21" s="12" t="s">
        <v>60</v>
      </c>
      <c r="L21" s="3">
        <v>2799.7438201508498</v>
      </c>
      <c r="N21" s="8" t="s">
        <v>86</v>
      </c>
      <c r="O21" s="9">
        <v>22.472364524327499</v>
      </c>
      <c r="Q21" s="36" t="s">
        <v>117</v>
      </c>
      <c r="R21" s="36"/>
      <c r="S21" s="36" t="s">
        <v>117</v>
      </c>
      <c r="T21" s="36"/>
    </row>
    <row r="22" spans="2:25" x14ac:dyDescent="0.3">
      <c r="B22" s="31">
        <v>18</v>
      </c>
      <c r="C22" s="3">
        <v>313.1790338182704</v>
      </c>
      <c r="D22" s="4">
        <v>98.504446572440472</v>
      </c>
      <c r="E22" s="3">
        <v>-82.91503188633331</v>
      </c>
      <c r="F22" s="6">
        <v>-0.24860758461092747</v>
      </c>
      <c r="G22" s="3">
        <v>173.63365867730425</v>
      </c>
      <c r="H22" s="3">
        <v>0.68663012728502504</v>
      </c>
      <c r="I22" s="3">
        <f t="shared" si="0"/>
        <v>40.02903381827042</v>
      </c>
      <c r="K22" s="12" t="s">
        <v>61</v>
      </c>
      <c r="L22" s="3">
        <v>216.92132320266333</v>
      </c>
      <c r="N22" s="8" t="s">
        <v>87</v>
      </c>
      <c r="O22" s="5">
        <v>16.984373320199506</v>
      </c>
      <c r="Q22" s="21" t="s">
        <v>113</v>
      </c>
      <c r="R22" s="22">
        <v>241339.13449454925</v>
      </c>
      <c r="S22" s="21" t="s">
        <v>127</v>
      </c>
      <c r="T22" s="23">
        <v>0</v>
      </c>
      <c r="V22" s="26">
        <f>(R23-228195)/228195</f>
        <v>1124.2351178833105</v>
      </c>
    </row>
    <row r="23" spans="2:25" x14ac:dyDescent="0.3">
      <c r="B23" s="32" t="s">
        <v>246</v>
      </c>
      <c r="C23" s="3">
        <v>348.52161965954565</v>
      </c>
      <c r="D23" s="4">
        <v>98.504446572440472</v>
      </c>
      <c r="E23" s="3">
        <v>-11.451865336567687</v>
      </c>
      <c r="F23" s="6">
        <v>-3.2596436848179706E-2</v>
      </c>
      <c r="G23" s="3">
        <v>173.63365867730425</v>
      </c>
      <c r="H23" s="3">
        <v>7.7460729715874184</v>
      </c>
      <c r="I23" s="3">
        <f t="shared" si="0"/>
        <v>75.371619659545672</v>
      </c>
      <c r="K23" s="12" t="s">
        <v>62</v>
      </c>
      <c r="L23" s="3">
        <v>257.89462587751922</v>
      </c>
      <c r="N23" s="8" t="s">
        <v>88</v>
      </c>
      <c r="O23" s="5">
        <v>22.692635964018898</v>
      </c>
      <c r="Q23" s="21" t="s">
        <v>114</v>
      </c>
      <c r="R23" s="22">
        <v>256773027.72538206</v>
      </c>
      <c r="S23" s="21" t="s">
        <v>128</v>
      </c>
      <c r="T23" s="23">
        <v>0</v>
      </c>
      <c r="V23" s="26">
        <f>(R24-10815)/10815</f>
        <v>1180.9828008532231</v>
      </c>
    </row>
    <row r="24" spans="2:25" x14ac:dyDescent="0.3">
      <c r="B24" s="31" t="s">
        <v>35</v>
      </c>
      <c r="C24" s="3">
        <v>352.94904708723425</v>
      </c>
      <c r="D24" s="4">
        <v>98.504446572440472</v>
      </c>
      <c r="E24" s="3">
        <v>-2.0124237788916908</v>
      </c>
      <c r="F24" s="6">
        <v>-5.6830994971502902E-3</v>
      </c>
      <c r="G24" s="3">
        <v>173.63365867730425</v>
      </c>
      <c r="H24" s="3">
        <v>9.1613029980539871</v>
      </c>
      <c r="I24" s="3">
        <f t="shared" si="0"/>
        <v>79.799047087234271</v>
      </c>
      <c r="K24" s="12" t="s">
        <v>63</v>
      </c>
      <c r="L24" s="3">
        <v>21.008819152365195</v>
      </c>
      <c r="N24" s="10" t="s">
        <v>89</v>
      </c>
      <c r="O24" s="14">
        <v>22.777686776908567</v>
      </c>
      <c r="Q24" s="21" t="s">
        <v>115</v>
      </c>
      <c r="R24" s="22">
        <v>12783143.991227608</v>
      </c>
      <c r="S24" s="21" t="s">
        <v>126</v>
      </c>
      <c r="T24" s="23">
        <v>287036742.70045835</v>
      </c>
      <c r="V24" s="8"/>
      <c r="W24" s="8"/>
      <c r="X24" s="8"/>
      <c r="Y24" s="8"/>
    </row>
    <row r="25" spans="2:25" x14ac:dyDescent="0.3">
      <c r="B25" s="31" t="s">
        <v>36</v>
      </c>
      <c r="C25" s="3">
        <v>352.94904708723425</v>
      </c>
      <c r="D25" s="4">
        <v>98.504446572440472</v>
      </c>
      <c r="E25" s="3">
        <v>354.6399053634305</v>
      </c>
      <c r="F25" s="6">
        <v>1.0048092990109321</v>
      </c>
      <c r="G25" s="3">
        <v>173.63365867730425</v>
      </c>
      <c r="H25" s="3">
        <v>64.535323525191458</v>
      </c>
      <c r="I25" s="3">
        <f t="shared" si="0"/>
        <v>79.799047087234271</v>
      </c>
      <c r="K25" s="12" t="s">
        <v>64</v>
      </c>
      <c r="L25" s="3">
        <v>1606251.3860119609</v>
      </c>
      <c r="Q25" s="8"/>
      <c r="R25" s="8"/>
      <c r="S25" s="33" t="s">
        <v>242</v>
      </c>
      <c r="T25" s="34">
        <v>556834253.55156243</v>
      </c>
      <c r="U25" s="5"/>
      <c r="V25" s="8"/>
      <c r="W25" s="8"/>
      <c r="X25" s="8"/>
      <c r="Y25" s="8"/>
    </row>
    <row r="26" spans="2:25" x14ac:dyDescent="0.3">
      <c r="B26" s="31">
        <v>15</v>
      </c>
      <c r="C26" s="3">
        <v>396.4382571755965</v>
      </c>
      <c r="D26" s="4">
        <v>98.504446572440472</v>
      </c>
      <c r="E26" s="3">
        <v>427.88931928238799</v>
      </c>
      <c r="F26" s="6">
        <v>1.2002862817475588</v>
      </c>
      <c r="G26" s="3">
        <v>173.63365867730425</v>
      </c>
      <c r="H26" s="3">
        <v>79.503275041223674</v>
      </c>
      <c r="I26" s="3">
        <f t="shared" si="0"/>
        <v>123.28825717559653</v>
      </c>
      <c r="K26" s="13" t="s">
        <v>249</v>
      </c>
      <c r="L26" s="24">
        <v>0.49488349731612458</v>
      </c>
      <c r="N26" s="37" t="s">
        <v>76</v>
      </c>
      <c r="O26" s="37"/>
      <c r="Q26" s="8"/>
      <c r="R26" s="8"/>
      <c r="S26" s="8"/>
      <c r="T26" s="8"/>
      <c r="V26" s="8"/>
      <c r="W26" s="8"/>
      <c r="X26" s="8"/>
      <c r="Y26" s="8"/>
    </row>
    <row r="27" spans="2:25" x14ac:dyDescent="0.3">
      <c r="B27" s="31">
        <v>16</v>
      </c>
      <c r="C27" s="3">
        <v>369.43022357479919</v>
      </c>
      <c r="D27" s="4">
        <v>24.626111643110118</v>
      </c>
      <c r="E27" s="3">
        <v>384.24577970048045</v>
      </c>
      <c r="F27" s="6">
        <v>1.2212685266545973</v>
      </c>
      <c r="G27" s="3">
        <v>173.63365867730425</v>
      </c>
      <c r="H27" s="3">
        <v>29.603879140282633</v>
      </c>
      <c r="I27" s="3">
        <f t="shared" si="0"/>
        <v>96.280223574799209</v>
      </c>
      <c r="N27" s="12" t="s">
        <v>77</v>
      </c>
      <c r="O27" s="5">
        <v>0.71269346475761464</v>
      </c>
      <c r="Q27" s="8"/>
      <c r="R27" s="8"/>
      <c r="S27" s="8"/>
      <c r="T27" s="8"/>
      <c r="U27" s="8"/>
      <c r="V27" s="8"/>
      <c r="W27" s="8"/>
      <c r="X27" s="8"/>
      <c r="Y27" s="8"/>
    </row>
    <row r="28" spans="2:25" x14ac:dyDescent="0.3">
      <c r="B28" s="31" t="s">
        <v>247</v>
      </c>
      <c r="C28" s="3">
        <v>322.36878194840472</v>
      </c>
      <c r="D28" s="4">
        <v>24.626111643110118</v>
      </c>
      <c r="E28" s="3">
        <v>312.78261315071484</v>
      </c>
      <c r="F28" s="6">
        <v>1.0147205242393047</v>
      </c>
      <c r="G28" s="3">
        <v>173.63365867730425</v>
      </c>
      <c r="H28" s="3">
        <v>19.722999510636438</v>
      </c>
      <c r="I28" s="3">
        <f t="shared" si="0"/>
        <v>49.21878194840474</v>
      </c>
      <c r="N28" s="12" t="s">
        <v>78</v>
      </c>
      <c r="O28" s="5">
        <v>0.99770990140218263</v>
      </c>
      <c r="Q28" s="8"/>
      <c r="R28" s="8"/>
      <c r="S28" s="8"/>
      <c r="T28" s="8"/>
      <c r="U28" s="8"/>
      <c r="V28" s="8"/>
      <c r="W28" s="8"/>
      <c r="X28" s="8"/>
      <c r="Y28" s="8"/>
    </row>
    <row r="29" spans="2:25" x14ac:dyDescent="0.3">
      <c r="B29" s="31" t="s">
        <v>28</v>
      </c>
      <c r="C29" s="3">
        <v>313.14999999999998</v>
      </c>
      <c r="D29" s="4">
        <v>24.626111643110118</v>
      </c>
      <c r="E29" s="3">
        <v>300.1323438202125</v>
      </c>
      <c r="F29" s="6">
        <v>0.97491036079233406</v>
      </c>
      <c r="G29" s="3">
        <v>173.63365867730425</v>
      </c>
      <c r="H29" s="3">
        <v>18.942130411848485</v>
      </c>
      <c r="I29" s="3">
        <f t="shared" si="0"/>
        <v>40</v>
      </c>
      <c r="N29" s="13" t="s">
        <v>79</v>
      </c>
      <c r="O29" s="14">
        <v>0.6</v>
      </c>
      <c r="Q29" s="8"/>
      <c r="R29" s="8"/>
      <c r="S29" s="8"/>
      <c r="T29" s="8"/>
      <c r="U29" s="8"/>
      <c r="V29" s="8"/>
      <c r="W29" s="8"/>
      <c r="X29" s="8"/>
      <c r="Y29" s="8"/>
    </row>
    <row r="30" spans="2:25" x14ac:dyDescent="0.3">
      <c r="B30" s="31" t="s">
        <v>37</v>
      </c>
      <c r="C30" s="3">
        <v>298.14999999999998</v>
      </c>
      <c r="D30" s="4">
        <v>101.325</v>
      </c>
      <c r="E30" s="3">
        <v>104.92011957080643</v>
      </c>
      <c r="F30" s="6">
        <v>0.36719964130372146</v>
      </c>
      <c r="G30" s="3">
        <v>3182.8791377078924</v>
      </c>
      <c r="H30" s="3">
        <v>2.5073905791015251E-5</v>
      </c>
      <c r="I30" s="3">
        <f t="shared" si="0"/>
        <v>25</v>
      </c>
      <c r="Q30" s="8"/>
      <c r="R30" s="8"/>
      <c r="S30" s="8"/>
      <c r="T30" s="8"/>
      <c r="U30" s="8"/>
      <c r="V30" s="8"/>
      <c r="W30" s="8"/>
      <c r="X30" s="8"/>
      <c r="Y30" s="8"/>
    </row>
    <row r="31" spans="2:25" x14ac:dyDescent="0.3">
      <c r="B31" s="31" t="s">
        <v>38</v>
      </c>
      <c r="C31" s="3">
        <v>303.14999999999998</v>
      </c>
      <c r="D31" s="4">
        <v>101.325</v>
      </c>
      <c r="E31" s="3">
        <v>125.82251132178534</v>
      </c>
      <c r="F31" s="6">
        <v>0.43672528196163279</v>
      </c>
      <c r="G31" s="3">
        <v>3182.8791377078924</v>
      </c>
      <c r="H31" s="3">
        <v>0.17334706272843686</v>
      </c>
      <c r="I31" s="3">
        <f t="shared" si="0"/>
        <v>30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x14ac:dyDescent="0.3">
      <c r="B32" s="31" t="s">
        <v>39</v>
      </c>
      <c r="C32" s="3">
        <v>303.31510401884481</v>
      </c>
      <c r="D32" s="4">
        <v>101.325</v>
      </c>
      <c r="E32" s="3">
        <v>126.51261372658171</v>
      </c>
      <c r="F32" s="6">
        <v>0.43900110089670652</v>
      </c>
      <c r="G32" s="3">
        <v>3182.8791377078924</v>
      </c>
      <c r="H32" s="3">
        <v>0.18491405203257455</v>
      </c>
      <c r="I32" s="3">
        <f t="shared" si="0"/>
        <v>30.165104018844829</v>
      </c>
      <c r="Q32" s="8"/>
      <c r="R32" s="8"/>
      <c r="S32" s="8"/>
      <c r="T32" s="8"/>
      <c r="U32" s="8"/>
      <c r="V32" s="8"/>
      <c r="W32" s="8"/>
      <c r="X32" s="8"/>
      <c r="Y32" s="8"/>
    </row>
    <row r="33" spans="2:25" x14ac:dyDescent="0.3">
      <c r="B33" s="31" t="s">
        <v>29</v>
      </c>
      <c r="C33" s="3">
        <v>435.4382571755965</v>
      </c>
      <c r="D33" s="4">
        <v>9124.0875912408756</v>
      </c>
      <c r="E33" s="3">
        <v>591.20237940555796</v>
      </c>
      <c r="F33" s="6">
        <v>2.1610567826542426</v>
      </c>
      <c r="G33" s="3">
        <v>799.46350834994291</v>
      </c>
      <c r="H33" s="3">
        <v>257.03525167707909</v>
      </c>
      <c r="I33" s="3">
        <f t="shared" si="0"/>
        <v>162.28825717559653</v>
      </c>
      <c r="Q33" s="8"/>
      <c r="R33" s="8"/>
      <c r="S33" s="8"/>
      <c r="T33" s="8"/>
      <c r="U33" s="8"/>
      <c r="V33" s="8"/>
      <c r="W33" s="8"/>
      <c r="X33" s="8"/>
      <c r="Y33" s="8"/>
    </row>
    <row r="34" spans="2:25" x14ac:dyDescent="0.3">
      <c r="B34" s="31" t="s">
        <v>30</v>
      </c>
      <c r="C34" s="3">
        <v>423.08708102866973</v>
      </c>
      <c r="D34" s="4">
        <v>9124.0875912408756</v>
      </c>
      <c r="E34" s="3">
        <v>576.26858667218778</v>
      </c>
      <c r="F34" s="6">
        <v>2.1262634543808296</v>
      </c>
      <c r="G34" s="3">
        <v>799.46350834994291</v>
      </c>
      <c r="H34" s="3">
        <v>252.47508976842693</v>
      </c>
      <c r="I34" s="3">
        <f t="shared" si="0"/>
        <v>149.93708102866975</v>
      </c>
    </row>
    <row r="35" spans="2:25" x14ac:dyDescent="0.3">
      <c r="B35" s="31" t="s">
        <v>31</v>
      </c>
      <c r="C35" s="3">
        <v>362.94904708723425</v>
      </c>
      <c r="D35" s="4">
        <v>9124.0875912408756</v>
      </c>
      <c r="E35" s="3">
        <v>496.03640269284398</v>
      </c>
      <c r="F35" s="6">
        <v>1.9211337971705802</v>
      </c>
      <c r="G35" s="3">
        <v>799.46350834994291</v>
      </c>
      <c r="H35" s="3">
        <v>233.40231308631894</v>
      </c>
      <c r="I35" s="3">
        <f t="shared" si="0"/>
        <v>89.799047087234271</v>
      </c>
    </row>
    <row r="36" spans="2:25" x14ac:dyDescent="0.3">
      <c r="B36" s="32" t="s">
        <v>32</v>
      </c>
      <c r="C36" s="3">
        <v>361.35738649679638</v>
      </c>
      <c r="D36" s="4">
        <v>9124.0875912408756</v>
      </c>
      <c r="E36" s="3">
        <v>493.57294248449631</v>
      </c>
      <c r="F36" s="6">
        <v>1.9143314943410128</v>
      </c>
      <c r="G36" s="3">
        <v>799.46350834994291</v>
      </c>
      <c r="H36" s="3">
        <v>232.96695946660682</v>
      </c>
      <c r="I36" s="3">
        <f t="shared" si="0"/>
        <v>88.207386496796403</v>
      </c>
    </row>
    <row r="37" spans="2:25" x14ac:dyDescent="0.3">
      <c r="B37" s="32">
        <v>13</v>
      </c>
      <c r="C37" s="3">
        <v>298.14999999999998</v>
      </c>
      <c r="D37" s="4">
        <v>0.101325</v>
      </c>
      <c r="E37" s="3">
        <v>424.43605428165802</v>
      </c>
      <c r="F37" s="6">
        <v>3.8804887263997387</v>
      </c>
      <c r="G37" s="3">
        <v>100</v>
      </c>
      <c r="H37" s="3">
        <v>2.1111792130950945E-2</v>
      </c>
      <c r="I37" s="3">
        <f t="shared" si="0"/>
        <v>25</v>
      </c>
    </row>
    <row r="38" spans="2:25" x14ac:dyDescent="0.3">
      <c r="B38" s="32">
        <v>14</v>
      </c>
      <c r="C38" s="3">
        <v>278.14999999999998</v>
      </c>
      <c r="D38" s="4">
        <v>0.101325</v>
      </c>
      <c r="E38" s="3">
        <v>467.95937759062173</v>
      </c>
      <c r="F38" s="6">
        <v>4.0168081231812165</v>
      </c>
      <c r="G38" s="3">
        <v>100</v>
      </c>
      <c r="H38" s="3">
        <v>2.9008069506970422</v>
      </c>
      <c r="I38" s="3">
        <f t="shared" si="0"/>
        <v>5</v>
      </c>
    </row>
    <row r="39" spans="2:25" x14ac:dyDescent="0.3">
      <c r="B39" s="32" t="s">
        <v>32</v>
      </c>
      <c r="C39" s="3">
        <v>361.35738649679638</v>
      </c>
      <c r="D39" s="4">
        <v>9.1240875912408761</v>
      </c>
      <c r="E39" s="3">
        <v>493.57294248449631</v>
      </c>
      <c r="F39" s="6">
        <v>1.9143314943410128</v>
      </c>
      <c r="G39" s="3">
        <v>799.46350834994291</v>
      </c>
      <c r="H39" s="3">
        <v>232.96695946660682</v>
      </c>
      <c r="I39" s="3">
        <f t="shared" si="0"/>
        <v>88.207386496796403</v>
      </c>
    </row>
    <row r="40" spans="2:25" x14ac:dyDescent="0.3">
      <c r="B40" s="32" t="s">
        <v>33</v>
      </c>
      <c r="C40" s="3">
        <v>357.9147949404603</v>
      </c>
      <c r="D40" s="4">
        <v>9.1240875912408761</v>
      </c>
      <c r="E40" s="3">
        <v>488.12887620074639</v>
      </c>
      <c r="F40" s="6">
        <v>1.8991933019420426</v>
      </c>
      <c r="G40" s="3">
        <v>799.46350834994291</v>
      </c>
      <c r="H40" s="3">
        <v>232.03634524660981</v>
      </c>
      <c r="I40" s="3">
        <f t="shared" si="0"/>
        <v>84.76479494046032</v>
      </c>
    </row>
    <row r="41" spans="2:25" x14ac:dyDescent="0.3">
      <c r="B41" s="32" t="s">
        <v>33</v>
      </c>
      <c r="C41" s="3">
        <v>357.9147949404603</v>
      </c>
      <c r="D41" s="4">
        <v>9124.0875912408756</v>
      </c>
      <c r="E41" s="3">
        <v>488.12887619058898</v>
      </c>
      <c r="F41" s="6">
        <v>1.8991933019420426</v>
      </c>
      <c r="G41" s="3">
        <v>799.46350834994291</v>
      </c>
      <c r="H41" s="3">
        <v>232.03634523645241</v>
      </c>
      <c r="I41" s="3">
        <f t="shared" si="0"/>
        <v>84.76479494046032</v>
      </c>
    </row>
    <row r="42" spans="2:25" x14ac:dyDescent="0.3">
      <c r="B42" s="32">
        <v>7</v>
      </c>
      <c r="C42" s="3">
        <v>328.15</v>
      </c>
      <c r="D42" s="4">
        <v>9124.0875912408756</v>
      </c>
      <c r="E42" s="3">
        <v>427.37611738856413</v>
      </c>
      <c r="F42" s="6">
        <v>1.72122584179495</v>
      </c>
      <c r="G42" s="3">
        <v>799.46350834994291</v>
      </c>
      <c r="H42" s="3">
        <v>224.34458467728319</v>
      </c>
      <c r="I42" s="3">
        <f t="shared" si="0"/>
        <v>55</v>
      </c>
    </row>
    <row r="43" spans="2:25" x14ac:dyDescent="0.3">
      <c r="B43" s="32">
        <v>19</v>
      </c>
      <c r="C43" s="3">
        <v>298.14999999999998</v>
      </c>
      <c r="D43" s="4">
        <v>101.325</v>
      </c>
      <c r="E43" s="3">
        <v>104.92011957080643</v>
      </c>
      <c r="F43" s="3">
        <v>0.36719964130372146</v>
      </c>
      <c r="G43" s="3">
        <v>9.7982274150728743E-2</v>
      </c>
      <c r="H43" s="3">
        <v>2.5073905791015251E-5</v>
      </c>
      <c r="I43" s="3">
        <f t="shared" si="0"/>
        <v>25</v>
      </c>
    </row>
    <row r="44" spans="2:25" x14ac:dyDescent="0.3">
      <c r="B44" s="32">
        <v>20</v>
      </c>
      <c r="C44" s="3">
        <v>356.9147949404603</v>
      </c>
      <c r="D44" s="4">
        <v>101.325</v>
      </c>
      <c r="E44" s="3">
        <v>350.86067438903575</v>
      </c>
      <c r="F44" s="3">
        <v>1.1200614625361844</v>
      </c>
      <c r="G44" s="3">
        <v>9.7982274150728743E-2</v>
      </c>
      <c r="H44" s="3">
        <v>21.47482789167622</v>
      </c>
      <c r="I44" s="3">
        <f t="shared" si="0"/>
        <v>83.76479494046032</v>
      </c>
    </row>
  </sheetData>
  <mergeCells count="8">
    <mergeCell ref="S21:T21"/>
    <mergeCell ref="N26:O26"/>
    <mergeCell ref="K2:L2"/>
    <mergeCell ref="K19:L19"/>
    <mergeCell ref="Q2:R2"/>
    <mergeCell ref="Q21:R21"/>
    <mergeCell ref="N2:O2"/>
    <mergeCell ref="N14:O14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BA90F-813A-493D-869A-57A3178EDC43}">
  <dimension ref="A1:M28"/>
  <sheetViews>
    <sheetView workbookViewId="0">
      <selection activeCell="K2" sqref="K2:M2"/>
    </sheetView>
  </sheetViews>
  <sheetFormatPr baseColWidth="10" defaultRowHeight="14.4" x14ac:dyDescent="0.3"/>
  <cols>
    <col min="2" max="2" width="22.77734375" bestFit="1" customWidth="1"/>
    <col min="3" max="3" width="12.6640625" bestFit="1" customWidth="1"/>
    <col min="5" max="5" width="17" bestFit="1" customWidth="1"/>
    <col min="6" max="6" width="12.6640625" bestFit="1" customWidth="1"/>
    <col min="8" max="8" width="12.6640625" bestFit="1" customWidth="1"/>
    <col min="11" max="11" width="14.77734375" bestFit="1" customWidth="1"/>
    <col min="12" max="12" width="17.21875" bestFit="1" customWidth="1"/>
    <col min="13" max="13" width="22.33203125" bestFit="1" customWidth="1"/>
  </cols>
  <sheetData>
    <row r="1" spans="1:13" x14ac:dyDescent="0.3">
      <c r="A1" s="1" t="s">
        <v>235</v>
      </c>
      <c r="B1" s="1" t="s">
        <v>236</v>
      </c>
      <c r="C1" s="1" t="s">
        <v>201</v>
      </c>
      <c r="E1" s="1" t="s">
        <v>226</v>
      </c>
      <c r="F1" s="1" t="s">
        <v>231</v>
      </c>
      <c r="G1" s="1" t="s">
        <v>232</v>
      </c>
      <c r="H1" s="1" t="s">
        <v>233</v>
      </c>
      <c r="I1" s="1" t="s">
        <v>234</v>
      </c>
      <c r="K1" s="1" t="s">
        <v>237</v>
      </c>
      <c r="L1" s="1" t="s">
        <v>238</v>
      </c>
      <c r="M1" s="1" t="s">
        <v>239</v>
      </c>
    </row>
    <row r="2" spans="1:13" x14ac:dyDescent="0.3">
      <c r="A2" t="s">
        <v>202</v>
      </c>
      <c r="B2">
        <v>9.2406574326365926E-2</v>
      </c>
      <c r="C2">
        <v>69915.957457922879</v>
      </c>
      <c r="E2" t="s">
        <v>66</v>
      </c>
      <c r="F2">
        <v>25031.935161652607</v>
      </c>
      <c r="G2">
        <v>1541.2694860114752</v>
      </c>
      <c r="H2">
        <v>142.42343331607918</v>
      </c>
      <c r="I2">
        <v>99.434251987875697</v>
      </c>
      <c r="K2" s="25">
        <v>0.35198545686127924</v>
      </c>
      <c r="L2" s="25">
        <v>1.904205650074752</v>
      </c>
      <c r="M2" s="25">
        <v>0.26978389328349178</v>
      </c>
    </row>
    <row r="3" spans="1:13" x14ac:dyDescent="0.3">
      <c r="A3" t="s">
        <v>203</v>
      </c>
      <c r="B3">
        <v>9.2406574326365953E-2</v>
      </c>
      <c r="C3">
        <v>63422.43179494785</v>
      </c>
      <c r="E3" t="s">
        <v>67</v>
      </c>
      <c r="F3">
        <v>8882.596502083512</v>
      </c>
      <c r="G3">
        <v>2806.532548235491</v>
      </c>
      <c r="H3">
        <v>245.50177594265065</v>
      </c>
      <c r="I3">
        <v>97.310482770177444</v>
      </c>
    </row>
    <row r="4" spans="1:13" x14ac:dyDescent="0.3">
      <c r="A4" t="s">
        <v>204</v>
      </c>
      <c r="B4">
        <v>8.7475121604059528E-2</v>
      </c>
      <c r="C4">
        <v>64425.663418180629</v>
      </c>
      <c r="E4" t="s">
        <v>69</v>
      </c>
      <c r="F4">
        <v>271.11169102991431</v>
      </c>
      <c r="G4">
        <v>3117.3934843303709</v>
      </c>
      <c r="H4">
        <v>841.02255109923738</v>
      </c>
      <c r="I4">
        <v>24.377604857384672</v>
      </c>
    </row>
    <row r="5" spans="1:13" x14ac:dyDescent="0.3">
      <c r="A5" t="s">
        <v>205</v>
      </c>
      <c r="B5">
        <v>8.7475121604059514E-2</v>
      </c>
      <c r="C5">
        <v>53701.992021490041</v>
      </c>
      <c r="E5" t="s">
        <v>70</v>
      </c>
      <c r="F5">
        <v>68.005339576619249</v>
      </c>
      <c r="G5">
        <v>1138.33305276341</v>
      </c>
      <c r="H5">
        <v>307.1039228277952</v>
      </c>
      <c r="I5">
        <v>18.129474900382768</v>
      </c>
    </row>
    <row r="6" spans="1:13" x14ac:dyDescent="0.3">
      <c r="A6" t="s">
        <v>206</v>
      </c>
      <c r="B6">
        <v>8.74751216040595E-2</v>
      </c>
      <c r="C6">
        <v>28471.079545973313</v>
      </c>
      <c r="E6" t="s">
        <v>59</v>
      </c>
      <c r="F6">
        <v>39.725992780971197</v>
      </c>
      <c r="G6">
        <v>3469.1288051136653</v>
      </c>
      <c r="H6">
        <v>303.46246408746356</v>
      </c>
      <c r="I6">
        <v>11.575562052251838</v>
      </c>
    </row>
    <row r="7" spans="1:13" x14ac:dyDescent="0.3">
      <c r="A7" t="s">
        <v>207</v>
      </c>
      <c r="B7">
        <v>8.7475121604059514E-2</v>
      </c>
      <c r="C7">
        <v>22482.980170694358</v>
      </c>
      <c r="E7" t="s">
        <v>60</v>
      </c>
      <c r="F7">
        <v>17.999232996962466</v>
      </c>
      <c r="G7">
        <v>7142.9330882120803</v>
      </c>
      <c r="H7">
        <v>624.82894050101197</v>
      </c>
      <c r="I7">
        <v>2.8000068663790731</v>
      </c>
    </row>
    <row r="8" spans="1:13" x14ac:dyDescent="0.3">
      <c r="A8" t="s">
        <v>208</v>
      </c>
      <c r="B8">
        <v>8.7827851562217951E-2</v>
      </c>
      <c r="C8">
        <v>15751.420401537414</v>
      </c>
      <c r="E8" t="s">
        <v>253</v>
      </c>
      <c r="F8">
        <v>3.9799033859835076</v>
      </c>
      <c r="G8">
        <v>6782.2557987781765</v>
      </c>
      <c r="H8">
        <v>593.27865074795898</v>
      </c>
      <c r="I8">
        <v>0.66636188940894858</v>
      </c>
    </row>
    <row r="9" spans="1:13" x14ac:dyDescent="0.3">
      <c r="A9" t="s">
        <v>209</v>
      </c>
      <c r="B9">
        <v>0.1230859866768063</v>
      </c>
      <c r="C9">
        <v>26447.19806915136</v>
      </c>
      <c r="E9" t="s">
        <v>254</v>
      </c>
      <c r="F9">
        <v>0.10995398107179184</v>
      </c>
      <c r="G9">
        <v>489.8963917659762</v>
      </c>
      <c r="H9">
        <v>95.75191476595441</v>
      </c>
      <c r="I9">
        <v>0.11470043564658007</v>
      </c>
    </row>
    <row r="10" spans="1:13" x14ac:dyDescent="0.3">
      <c r="A10" t="s">
        <v>210</v>
      </c>
      <c r="B10">
        <v>0.11750793748009437</v>
      </c>
      <c r="C10">
        <v>32453.296677427275</v>
      </c>
      <c r="E10" t="s">
        <v>228</v>
      </c>
      <c r="F10">
        <v>77.429288617854894</v>
      </c>
      <c r="G10">
        <v>1086.2272208333268</v>
      </c>
      <c r="H10">
        <v>212.30680203780128</v>
      </c>
      <c r="I10">
        <v>26.724074464674679</v>
      </c>
    </row>
    <row r="11" spans="1:13" x14ac:dyDescent="0.3">
      <c r="A11" t="s">
        <v>211</v>
      </c>
      <c r="B11">
        <v>0.13955976303443879</v>
      </c>
      <c r="C11">
        <v>9668.2218541771254</v>
      </c>
      <c r="E11" t="s">
        <v>229</v>
      </c>
      <c r="F11">
        <v>0.51696822047328139</v>
      </c>
      <c r="G11">
        <v>2.8374352800170817</v>
      </c>
      <c r="H11">
        <v>0.76549433678294299</v>
      </c>
      <c r="I11">
        <v>40.310589774980528</v>
      </c>
    </row>
    <row r="12" spans="1:13" x14ac:dyDescent="0.3">
      <c r="A12" t="s">
        <v>212</v>
      </c>
      <c r="B12">
        <v>0.12193013321124166</v>
      </c>
      <c r="C12">
        <v>42121.518531604401</v>
      </c>
      <c r="E12" t="s">
        <v>255</v>
      </c>
      <c r="F12">
        <v>1.2781700334423005</v>
      </c>
      <c r="G12">
        <v>2733.9070991328199</v>
      </c>
      <c r="H12">
        <v>534.3514341686647</v>
      </c>
      <c r="I12">
        <v>0.2386294602491788</v>
      </c>
    </row>
    <row r="13" spans="1:13" x14ac:dyDescent="0.3">
      <c r="A13" t="s">
        <v>213</v>
      </c>
      <c r="B13">
        <v>0.10690001237587672</v>
      </c>
      <c r="C13">
        <v>67392.156999902101</v>
      </c>
      <c r="E13" t="s">
        <v>63</v>
      </c>
      <c r="F13">
        <v>0.35222626491756892</v>
      </c>
      <c r="G13">
        <v>456.02259338253077</v>
      </c>
      <c r="H13">
        <v>39.890631810335478</v>
      </c>
      <c r="I13">
        <v>0.87525161423404729</v>
      </c>
    </row>
    <row r="14" spans="1:13" x14ac:dyDescent="0.3">
      <c r="A14" t="s">
        <v>214</v>
      </c>
      <c r="B14">
        <v>8.74751216040595E-2</v>
      </c>
      <c r="C14">
        <v>4508.657965268847</v>
      </c>
      <c r="E14" s="24" t="s">
        <v>230</v>
      </c>
      <c r="F14" s="24">
        <v>113.9975296205717</v>
      </c>
      <c r="G14" s="24">
        <v>6147.1777320041247</v>
      </c>
      <c r="H14" s="24">
        <v>539.89341337302983</v>
      </c>
      <c r="I14" s="24">
        <v>17.433722066660767</v>
      </c>
    </row>
    <row r="15" spans="1:13" x14ac:dyDescent="0.3">
      <c r="A15" t="s">
        <v>215</v>
      </c>
      <c r="B15">
        <v>8.7475121604059541E-2</v>
      </c>
      <c r="C15">
        <v>17974.322205425517</v>
      </c>
      <c r="E15" t="s">
        <v>172</v>
      </c>
      <c r="F15">
        <v>406.04887085806683</v>
      </c>
      <c r="G15">
        <v>6270.2647481636777</v>
      </c>
      <c r="H15">
        <v>1691.6164356778302</v>
      </c>
      <c r="I15">
        <v>19.357181033261188</v>
      </c>
    </row>
    <row r="16" spans="1:13" x14ac:dyDescent="0.3">
      <c r="A16" t="s">
        <v>216</v>
      </c>
      <c r="B16">
        <v>8.7475121604059541E-2</v>
      </c>
      <c r="C16">
        <v>16292.117424184464</v>
      </c>
    </row>
    <row r="17" spans="1:3" x14ac:dyDescent="0.3">
      <c r="A17" t="s">
        <v>217</v>
      </c>
      <c r="B17">
        <v>8.7827851562217937E-2</v>
      </c>
      <c r="C17">
        <v>16292.469650449379</v>
      </c>
    </row>
    <row r="18" spans="1:3" x14ac:dyDescent="0.3">
      <c r="A18" t="s">
        <v>227</v>
      </c>
      <c r="B18">
        <v>2E-3</v>
      </c>
      <c r="C18">
        <v>4.9135966224896022E-9</v>
      </c>
    </row>
    <row r="19" spans="1:3" x14ac:dyDescent="0.3">
      <c r="A19" t="s">
        <v>218</v>
      </c>
      <c r="B19">
        <v>311.3114599283947</v>
      </c>
      <c r="C19">
        <v>655.04677853745</v>
      </c>
    </row>
    <row r="20" spans="1:3" x14ac:dyDescent="0.3">
      <c r="A20" t="s">
        <v>219</v>
      </c>
      <c r="B20">
        <v>0.19545339866821301</v>
      </c>
      <c r="C20">
        <v>2698.1255985977582</v>
      </c>
    </row>
    <row r="21" spans="1:3" x14ac:dyDescent="0.3">
      <c r="A21" t="s">
        <v>220</v>
      </c>
      <c r="B21">
        <v>0.19545339866821301</v>
      </c>
      <c r="C21">
        <v>1004.6753933693218</v>
      </c>
    </row>
    <row r="22" spans="1:3" x14ac:dyDescent="0.3">
      <c r="A22" t="s">
        <v>251</v>
      </c>
      <c r="B22">
        <v>0.19545339866821299</v>
      </c>
      <c r="C22">
        <v>669.34512865270472</v>
      </c>
    </row>
    <row r="23" spans="1:3" x14ac:dyDescent="0.3">
      <c r="A23" t="s">
        <v>221</v>
      </c>
      <c r="B23">
        <v>6.5625014272466329</v>
      </c>
      <c r="C23">
        <v>670.623298686147</v>
      </c>
    </row>
    <row r="24" spans="1:3" x14ac:dyDescent="0.3">
      <c r="A24" t="s">
        <v>222</v>
      </c>
      <c r="B24">
        <v>5.6742893196732593</v>
      </c>
      <c r="C24">
        <v>676.50069527303333</v>
      </c>
    </row>
    <row r="25" spans="1:3" x14ac:dyDescent="0.3">
      <c r="A25" t="s">
        <v>252</v>
      </c>
      <c r="B25">
        <v>0.75238417935517443</v>
      </c>
      <c r="C25">
        <v>1011.9409139707221</v>
      </c>
    </row>
    <row r="26" spans="1:3" x14ac:dyDescent="0.3">
      <c r="A26" t="s">
        <v>223</v>
      </c>
      <c r="B26">
        <v>1.904205650074752</v>
      </c>
      <c r="C26">
        <v>2445.1074014182363</v>
      </c>
    </row>
    <row r="27" spans="1:3" x14ac:dyDescent="0.3">
      <c r="A27" t="s">
        <v>224</v>
      </c>
      <c r="B27">
        <v>0</v>
      </c>
      <c r="C27">
        <v>0</v>
      </c>
    </row>
    <row r="28" spans="1:3" x14ac:dyDescent="0.3">
      <c r="A28" s="24" t="s">
        <v>225</v>
      </c>
      <c r="B28" s="24">
        <v>0.26978389328349178</v>
      </c>
      <c r="C28" s="24">
        <v>2039.0585305601694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0693F-D387-4367-8A44-8725A6CA7BA7}">
  <dimension ref="A1:AF33"/>
  <sheetViews>
    <sheetView topLeftCell="T1" workbookViewId="0">
      <selection activeCell="U21" sqref="U21"/>
    </sheetView>
  </sheetViews>
  <sheetFormatPr baseColWidth="10" defaultRowHeight="14.4" x14ac:dyDescent="0.3"/>
  <sheetData>
    <row r="1" spans="1:32" x14ac:dyDescent="0.3">
      <c r="B1" t="s">
        <v>129</v>
      </c>
      <c r="C1" t="s">
        <v>37</v>
      </c>
      <c r="D1" t="s">
        <v>38</v>
      </c>
      <c r="E1" t="s">
        <v>39</v>
      </c>
      <c r="F1" t="s">
        <v>130</v>
      </c>
      <c r="G1" t="s">
        <v>131</v>
      </c>
      <c r="H1" t="s">
        <v>132</v>
      </c>
      <c r="I1" t="s">
        <v>133</v>
      </c>
      <c r="J1" t="s">
        <v>192</v>
      </c>
      <c r="K1" t="s">
        <v>193</v>
      </c>
      <c r="L1" t="s">
        <v>194</v>
      </c>
      <c r="M1" t="s">
        <v>134</v>
      </c>
      <c r="N1" t="s">
        <v>135</v>
      </c>
      <c r="O1" t="s">
        <v>136</v>
      </c>
      <c r="P1" t="s">
        <v>137</v>
      </c>
      <c r="Q1" t="s">
        <v>138</v>
      </c>
      <c r="R1" t="s">
        <v>139</v>
      </c>
      <c r="S1" t="s">
        <v>140</v>
      </c>
      <c r="T1" t="s">
        <v>141</v>
      </c>
      <c r="U1" t="s">
        <v>142</v>
      </c>
      <c r="V1" t="s">
        <v>143</v>
      </c>
      <c r="W1" t="s">
        <v>144</v>
      </c>
      <c r="X1" t="s">
        <v>145</v>
      </c>
      <c r="Y1" t="s">
        <v>146</v>
      </c>
      <c r="Z1" t="s">
        <v>147</v>
      </c>
      <c r="AA1" t="s">
        <v>148</v>
      </c>
      <c r="AB1" t="s">
        <v>149</v>
      </c>
      <c r="AC1" t="s">
        <v>150</v>
      </c>
      <c r="AD1" t="s">
        <v>151</v>
      </c>
      <c r="AE1" t="s">
        <v>152</v>
      </c>
      <c r="AF1" t="s">
        <v>189</v>
      </c>
    </row>
    <row r="2" spans="1:32" x14ac:dyDescent="0.3">
      <c r="A2" t="s">
        <v>153</v>
      </c>
      <c r="B2" t="s">
        <v>154</v>
      </c>
      <c r="C2">
        <v>1</v>
      </c>
      <c r="D2">
        <v>-1</v>
      </c>
      <c r="X2">
        <v>-1</v>
      </c>
    </row>
    <row r="3" spans="1:32" x14ac:dyDescent="0.3">
      <c r="A3" t="s">
        <v>175</v>
      </c>
      <c r="B3">
        <v>0</v>
      </c>
      <c r="C3">
        <v>-1</v>
      </c>
      <c r="D3" t="s">
        <v>176</v>
      </c>
    </row>
    <row r="4" spans="1:32" x14ac:dyDescent="0.3">
      <c r="A4" t="s">
        <v>155</v>
      </c>
      <c r="B4" t="s">
        <v>156</v>
      </c>
      <c r="E4">
        <v>1</v>
      </c>
      <c r="F4">
        <v>-1</v>
      </c>
      <c r="Z4">
        <v>-1</v>
      </c>
    </row>
    <row r="5" spans="1:32" x14ac:dyDescent="0.3">
      <c r="A5" t="s">
        <v>186</v>
      </c>
      <c r="B5">
        <v>0</v>
      </c>
      <c r="E5">
        <v>-1</v>
      </c>
      <c r="F5" t="s">
        <v>177</v>
      </c>
    </row>
    <row r="6" spans="1:32" x14ac:dyDescent="0.3">
      <c r="A6" t="s">
        <v>37</v>
      </c>
      <c r="B6" t="s">
        <v>157</v>
      </c>
      <c r="M6">
        <v>1</v>
      </c>
      <c r="N6">
        <v>-1</v>
      </c>
      <c r="AA6">
        <v>1</v>
      </c>
    </row>
    <row r="7" spans="1:32" x14ac:dyDescent="0.3">
      <c r="A7" t="s">
        <v>38</v>
      </c>
      <c r="B7" t="s">
        <v>158</v>
      </c>
      <c r="J7">
        <v>1</v>
      </c>
      <c r="P7">
        <v>-1</v>
      </c>
      <c r="AB7">
        <v>1</v>
      </c>
    </row>
    <row r="8" spans="1:32" x14ac:dyDescent="0.3">
      <c r="A8" t="s">
        <v>59</v>
      </c>
      <c r="B8" t="s">
        <v>159</v>
      </c>
      <c r="F8">
        <v>1</v>
      </c>
      <c r="G8">
        <v>-1</v>
      </c>
      <c r="Q8">
        <v>1</v>
      </c>
      <c r="R8">
        <v>-1</v>
      </c>
    </row>
    <row r="9" spans="1:32" x14ac:dyDescent="0.3">
      <c r="A9" t="s">
        <v>178</v>
      </c>
      <c r="B9">
        <v>0</v>
      </c>
      <c r="F9">
        <v>-1</v>
      </c>
      <c r="G9" t="s">
        <v>180</v>
      </c>
    </row>
    <row r="10" spans="1:32" x14ac:dyDescent="0.3">
      <c r="A10" t="s">
        <v>60</v>
      </c>
      <c r="B10" t="s">
        <v>160</v>
      </c>
      <c r="G10">
        <v>1</v>
      </c>
      <c r="H10">
        <v>-1</v>
      </c>
      <c r="N10">
        <v>1</v>
      </c>
      <c r="O10">
        <v>-1</v>
      </c>
    </row>
    <row r="11" spans="1:32" x14ac:dyDescent="0.3">
      <c r="A11" t="s">
        <v>179</v>
      </c>
      <c r="B11">
        <v>0</v>
      </c>
      <c r="G11">
        <v>-1</v>
      </c>
      <c r="H11" t="s">
        <v>181</v>
      </c>
    </row>
    <row r="12" spans="1:32" x14ac:dyDescent="0.3">
      <c r="A12" t="s">
        <v>182</v>
      </c>
      <c r="B12">
        <v>0</v>
      </c>
      <c r="O12">
        <v>1</v>
      </c>
      <c r="P12">
        <v>1</v>
      </c>
      <c r="Q12">
        <v>-1</v>
      </c>
    </row>
    <row r="13" spans="1:32" x14ac:dyDescent="0.3">
      <c r="A13" t="s">
        <v>161</v>
      </c>
      <c r="B13" t="s">
        <v>162</v>
      </c>
      <c r="K13">
        <v>-1</v>
      </c>
      <c r="L13">
        <v>1</v>
      </c>
    </row>
    <row r="14" spans="1:32" x14ac:dyDescent="0.3">
      <c r="A14" t="s">
        <v>197</v>
      </c>
      <c r="B14">
        <v>0</v>
      </c>
      <c r="K14" t="s">
        <v>198</v>
      </c>
      <c r="L14">
        <v>-1</v>
      </c>
    </row>
    <row r="15" spans="1:32" x14ac:dyDescent="0.3">
      <c r="A15" t="s">
        <v>64</v>
      </c>
      <c r="B15" t="s">
        <v>163</v>
      </c>
      <c r="K15">
        <v>1</v>
      </c>
      <c r="M15">
        <v>-1</v>
      </c>
      <c r="W15">
        <v>-1</v>
      </c>
    </row>
    <row r="16" spans="1:32" x14ac:dyDescent="0.3">
      <c r="A16" t="s">
        <v>183</v>
      </c>
      <c r="B16">
        <v>0</v>
      </c>
      <c r="K16">
        <v>-1</v>
      </c>
      <c r="M16" t="s">
        <v>184</v>
      </c>
    </row>
    <row r="17" spans="1:32" x14ac:dyDescent="0.3">
      <c r="A17" t="s">
        <v>164</v>
      </c>
      <c r="B17" t="s">
        <v>165</v>
      </c>
      <c r="S17">
        <v>1</v>
      </c>
      <c r="T17">
        <v>-1</v>
      </c>
      <c r="AE17">
        <v>-1</v>
      </c>
    </row>
    <row r="18" spans="1:32" x14ac:dyDescent="0.3">
      <c r="A18" t="s">
        <v>185</v>
      </c>
      <c r="B18">
        <v>0</v>
      </c>
      <c r="S18">
        <v>-1</v>
      </c>
      <c r="T18" t="s">
        <v>187</v>
      </c>
    </row>
    <row r="19" spans="1:32" x14ac:dyDescent="0.3">
      <c r="A19" t="s">
        <v>166</v>
      </c>
      <c r="B19" t="s">
        <v>167</v>
      </c>
      <c r="U19">
        <v>1</v>
      </c>
      <c r="V19">
        <v>-1</v>
      </c>
      <c r="AF19">
        <v>1</v>
      </c>
    </row>
    <row r="20" spans="1:32" x14ac:dyDescent="0.3">
      <c r="A20" t="s">
        <v>188</v>
      </c>
      <c r="B20">
        <v>0</v>
      </c>
      <c r="AE20" t="s">
        <v>190</v>
      </c>
      <c r="AF20">
        <v>-1</v>
      </c>
    </row>
    <row r="21" spans="1:32" x14ac:dyDescent="0.3">
      <c r="A21" t="s">
        <v>168</v>
      </c>
      <c r="B21" t="s">
        <v>169</v>
      </c>
      <c r="T21">
        <v>1</v>
      </c>
      <c r="U21">
        <v>-1</v>
      </c>
    </row>
    <row r="22" spans="1:32" x14ac:dyDescent="0.3">
      <c r="A22" t="s">
        <v>174</v>
      </c>
      <c r="B22">
        <v>0</v>
      </c>
      <c r="T22">
        <v>-1</v>
      </c>
      <c r="U22" t="s">
        <v>199</v>
      </c>
    </row>
    <row r="23" spans="1:32" x14ac:dyDescent="0.3">
      <c r="A23" t="s">
        <v>170</v>
      </c>
      <c r="B23" t="s">
        <v>171</v>
      </c>
      <c r="I23">
        <v>1</v>
      </c>
      <c r="L23">
        <v>-1</v>
      </c>
      <c r="S23">
        <v>-1</v>
      </c>
      <c r="V23">
        <v>1</v>
      </c>
    </row>
    <row r="24" spans="1:32" x14ac:dyDescent="0.3">
      <c r="A24" t="s">
        <v>191</v>
      </c>
      <c r="B24">
        <v>0</v>
      </c>
      <c r="I24">
        <v>-1</v>
      </c>
      <c r="K24" t="s">
        <v>195</v>
      </c>
    </row>
    <row r="25" spans="1:32" x14ac:dyDescent="0.3">
      <c r="A25" t="s">
        <v>172</v>
      </c>
      <c r="B25" t="s">
        <v>173</v>
      </c>
      <c r="W25">
        <v>1</v>
      </c>
      <c r="Y25">
        <v>1</v>
      </c>
      <c r="AC25">
        <v>-1</v>
      </c>
      <c r="AD25">
        <v>-1</v>
      </c>
    </row>
    <row r="32" spans="1:32" x14ac:dyDescent="0.3">
      <c r="A32" t="s">
        <v>196</v>
      </c>
    </row>
    <row r="33" spans="1:1" x14ac:dyDescent="0.3">
      <c r="A33" t="s"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</vt:lpstr>
      <vt:lpstr>rc</vt:lpstr>
      <vt:lpstr>nt</vt:lpstr>
      <vt:lpstr>nc</vt:lpstr>
      <vt:lpstr>Energy_Exergy</vt:lpstr>
      <vt:lpstr>Exergoeconomico</vt:lpstr>
      <vt:lpstr>EXERGO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Iglesias</dc:creator>
  <cp:lastModifiedBy>Adrian Iglesias</cp:lastModifiedBy>
  <dcterms:created xsi:type="dcterms:W3CDTF">2026-01-05T23:58:20Z</dcterms:created>
  <dcterms:modified xsi:type="dcterms:W3CDTF">2026-04-15T03:40:09Z</dcterms:modified>
</cp:coreProperties>
</file>