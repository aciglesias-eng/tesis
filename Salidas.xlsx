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ih0\Documents\CODIGO\tes2\"/>
    </mc:Choice>
  </mc:AlternateContent>
  <xr:revisionPtr revIDLastSave="0" documentId="13_ncr:1_{D2577816-9F7D-473F-8819-FCC5616B393D}" xr6:coauthVersionLast="47" xr6:coauthVersionMax="47" xr10:uidLastSave="{00000000-0000-0000-0000-000000000000}"/>
  <bookViews>
    <workbookView xWindow="-108" yWindow="-108" windowWidth="23256" windowHeight="13176" xr2:uid="{C4CE93A3-0861-4D2C-B953-37868A8DFB1C}"/>
  </bookViews>
  <sheets>
    <sheet name="T" sheetId="3" r:id="rId1"/>
    <sheet name="rc" sheetId="6" r:id="rId2"/>
    <sheet name="nt" sheetId="7" r:id="rId3"/>
    <sheet name="nc" sheetId="8" r:id="rId4"/>
    <sheet name="Energy_Exergy" sheetId="2" r:id="rId5"/>
    <sheet name="Exergoeconomico" sheetId="5" r:id="rId6"/>
    <sheet name="EXERGO" sheetId="4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3" i="2"/>
</calcChain>
</file>

<file path=xl/sharedStrings.xml><?xml version="1.0" encoding="utf-8"?>
<sst xmlns="http://schemas.openxmlformats.org/spreadsheetml/2006/main" count="394" uniqueCount="245">
  <si>
    <t>T [°C]</t>
  </si>
  <si>
    <t>n_ex [%]</t>
  </si>
  <si>
    <t>n_th [%]</t>
  </si>
  <si>
    <t>n_en_PEM [%]</t>
  </si>
  <si>
    <t>n_ex_PEM [%]</t>
  </si>
  <si>
    <t>T_in_PEM [°C]</t>
  </si>
  <si>
    <t>m_H2 [kg/h]</t>
  </si>
  <si>
    <t>m_H2O_in [kg/h]</t>
  </si>
  <si>
    <t>XD Compresor 1 [kW]</t>
  </si>
  <si>
    <t>XD Compresor 2 [kW]</t>
  </si>
  <si>
    <t>XD Turbina 1 [kW]</t>
  </si>
  <si>
    <t>XD Turbina 2 [kW]</t>
  </si>
  <si>
    <t>XD HTR [kW]</t>
  </si>
  <si>
    <t>XD LTR [kW]</t>
  </si>
  <si>
    <t>XD Loss field [kW]</t>
  </si>
  <si>
    <t>XD Cooler [kW]</t>
  </si>
  <si>
    <t>XD Pérdida aire [kW]</t>
  </si>
  <si>
    <t>XD Evaporador 1 [kW]</t>
  </si>
  <si>
    <t>XD Condensador [kW]</t>
  </si>
  <si>
    <t>XD Pérdida agua [kW]</t>
  </si>
  <si>
    <t>Exergía solar aportada [kW]</t>
  </si>
  <si>
    <t>Exergía destruida total [kW]</t>
  </si>
  <si>
    <t>State</t>
  </si>
  <si>
    <t>T [K]</t>
  </si>
  <si>
    <t>P [kPa]</t>
  </si>
  <si>
    <t>h [kJ/kg]</t>
  </si>
  <si>
    <t>s [kJ/kg-K]</t>
  </si>
  <si>
    <t>m [kg/s]</t>
  </si>
  <si>
    <t>16vs</t>
  </si>
  <si>
    <t>6AI</t>
  </si>
  <si>
    <t>6AO1</t>
  </si>
  <si>
    <t>6AO2</t>
  </si>
  <si>
    <t>6AO3</t>
  </si>
  <si>
    <t>6AO</t>
  </si>
  <si>
    <t>6BI</t>
  </si>
  <si>
    <t>15ls</t>
  </si>
  <si>
    <t>15vs</t>
  </si>
  <si>
    <t>C1</t>
  </si>
  <si>
    <t>C2</t>
  </si>
  <si>
    <t>C3</t>
  </si>
  <si>
    <t>Componentes</t>
  </si>
  <si>
    <t>Valor</t>
  </si>
  <si>
    <t>Q_Heater</t>
  </si>
  <si>
    <t>Q_Re-heater</t>
  </si>
  <si>
    <t>Q_HTR</t>
  </si>
  <si>
    <t>Q_LTR</t>
  </si>
  <si>
    <t>Q_Cooler</t>
  </si>
  <si>
    <t>Q_total</t>
  </si>
  <si>
    <t>Q_Evap_etapa1</t>
  </si>
  <si>
    <t>Q_Evap_etapa2</t>
  </si>
  <si>
    <t>Q_Evap_etapa3</t>
  </si>
  <si>
    <t>Q_Evap_total</t>
  </si>
  <si>
    <t>Q_Cond_etapa1</t>
  </si>
  <si>
    <t>Q_Cond_total</t>
  </si>
  <si>
    <t>Q_Cond_etapa2</t>
  </si>
  <si>
    <t>Q_HE</t>
  </si>
  <si>
    <t>Calor y Exergias [ MW]</t>
  </si>
  <si>
    <t>x [kJ/kgK]</t>
  </si>
  <si>
    <t>Areas [m2]</t>
  </si>
  <si>
    <t>HTR</t>
  </si>
  <si>
    <t>LTR</t>
  </si>
  <si>
    <t>Evaporador</t>
  </si>
  <si>
    <t>Condensador</t>
  </si>
  <si>
    <t>Cooler</t>
  </si>
  <si>
    <t>HE</t>
  </si>
  <si>
    <t>Potencias [ kW]</t>
  </si>
  <si>
    <t>Turbina 1</t>
  </si>
  <si>
    <t>Turbina 2</t>
  </si>
  <si>
    <t>Turbina 3</t>
  </si>
  <si>
    <t>Compresor 1</t>
  </si>
  <si>
    <t>Compresor 2</t>
  </si>
  <si>
    <t>Bomba 1</t>
  </si>
  <si>
    <t>W_SBCR</t>
  </si>
  <si>
    <t>W_ORC</t>
  </si>
  <si>
    <t>W_ORC + SBCR</t>
  </si>
  <si>
    <t>Eficiencias [%]</t>
  </si>
  <si>
    <t>Parametros Field solar</t>
  </si>
  <si>
    <t>nt</t>
  </si>
  <si>
    <t>Fi</t>
  </si>
  <si>
    <t>nfield</t>
  </si>
  <si>
    <t>nth_ORC</t>
  </si>
  <si>
    <t>nth_SBCR</t>
  </si>
  <si>
    <t>nth_PEM</t>
  </si>
  <si>
    <t>nth_ciclo</t>
  </si>
  <si>
    <t>n_ciclo sin PEM</t>
  </si>
  <si>
    <t>nex_ORC</t>
  </si>
  <si>
    <t>nex_SBCR</t>
  </si>
  <si>
    <t>nex_PEM</t>
  </si>
  <si>
    <t>nex_ciclo</t>
  </si>
  <si>
    <t>nex_ciclo_2</t>
  </si>
  <si>
    <t>W Neto [MW]</t>
  </si>
  <si>
    <t>n_ciclo sin PEM[%]</t>
  </si>
  <si>
    <t>XD Turbina 3 [kW]</t>
  </si>
  <si>
    <t>XD Loss Solar receiver [kW]</t>
  </si>
  <si>
    <t>XD CSP [kW]</t>
  </si>
  <si>
    <t>XD Bomba 2 [kW]</t>
  </si>
  <si>
    <t>XD HE [kW]</t>
  </si>
  <si>
    <t>W_Rankine [MW]</t>
  </si>
  <si>
    <t>Y.Evap</t>
  </si>
  <si>
    <t>Y.Cond</t>
  </si>
  <si>
    <t>Y.HTR</t>
  </si>
  <si>
    <t>Y.HE</t>
  </si>
  <si>
    <t>Y.T1</t>
  </si>
  <si>
    <t>Y.T2</t>
  </si>
  <si>
    <t>Y.Cooler</t>
  </si>
  <si>
    <t>Y.LTR</t>
  </si>
  <si>
    <t>Y.T3</t>
  </si>
  <si>
    <t>Y.C1</t>
  </si>
  <si>
    <t>Y.C2</t>
  </si>
  <si>
    <t>Y.B2</t>
  </si>
  <si>
    <t xml:space="preserve">Y.wf </t>
  </si>
  <si>
    <t>Y.co2</t>
  </si>
  <si>
    <t>Y.CSP</t>
  </si>
  <si>
    <t>Yom total</t>
  </si>
  <si>
    <t>Yco total</t>
  </si>
  <si>
    <t>Yde total</t>
  </si>
  <si>
    <t>Impacto por componente [kgCO2-eq]</t>
  </si>
  <si>
    <t>Impacto por fases [kgCO2-eq]</t>
  </si>
  <si>
    <t>Fases</t>
  </si>
  <si>
    <t>EWR</t>
  </si>
  <si>
    <t>EEF</t>
  </si>
  <si>
    <t>ESI</t>
  </si>
  <si>
    <t>XD PEM [kW]</t>
  </si>
  <si>
    <t>Y.PEM</t>
  </si>
  <si>
    <t>Y total [kgCO2-eq/kWh]</t>
  </si>
  <si>
    <t>n_ex2 [%]</t>
  </si>
  <si>
    <t>Y PEM [kgCO2-eq/kgH2]</t>
  </si>
  <si>
    <t>Yom PEM</t>
  </si>
  <si>
    <t>Yco PEM</t>
  </si>
  <si>
    <t>Yde PEM</t>
  </si>
  <si>
    <t>Z</t>
  </si>
  <si>
    <t>C4</t>
  </si>
  <si>
    <t xml:space="preserve">C5 </t>
  </si>
  <si>
    <t>C6</t>
  </si>
  <si>
    <t>C6AI</t>
  </si>
  <si>
    <t>C7</t>
  </si>
  <si>
    <t>C8</t>
  </si>
  <si>
    <t>C9</t>
  </si>
  <si>
    <t>C10</t>
  </si>
  <si>
    <t>C11</t>
  </si>
  <si>
    <t>C12</t>
  </si>
  <si>
    <t>C15</t>
  </si>
  <si>
    <t>C16</t>
  </si>
  <si>
    <t>C17</t>
  </si>
  <si>
    <t>C18</t>
  </si>
  <si>
    <t>C20</t>
  </si>
  <si>
    <t>CWT1</t>
  </si>
  <si>
    <t>CNETO</t>
  </si>
  <si>
    <t>CWT2</t>
  </si>
  <si>
    <t>CWC1</t>
  </si>
  <si>
    <t>CWC2</t>
  </si>
  <si>
    <t>CH2</t>
  </si>
  <si>
    <t>CO2</t>
  </si>
  <si>
    <t>CWT3</t>
  </si>
  <si>
    <t>T1</t>
  </si>
  <si>
    <t>"-ZT1"</t>
  </si>
  <si>
    <t>T2</t>
  </si>
  <si>
    <t>"-ZT2"</t>
  </si>
  <si>
    <t>"-ZC1"</t>
  </si>
  <si>
    <t>"-ZC2"</t>
  </si>
  <si>
    <t>"-ZHTR"</t>
  </si>
  <si>
    <t>"-ZLTR"</t>
  </si>
  <si>
    <t>COOLER</t>
  </si>
  <si>
    <t>"-ZCOOLER"</t>
  </si>
  <si>
    <t>"-ZHE"</t>
  </si>
  <si>
    <t>T3</t>
  </si>
  <si>
    <t>"-ZT3"</t>
  </si>
  <si>
    <t>B2</t>
  </si>
  <si>
    <t>"-ZB2"</t>
  </si>
  <si>
    <t>COND</t>
  </si>
  <si>
    <t>"-ZCOND"</t>
  </si>
  <si>
    <t>EVAP</t>
  </si>
  <si>
    <t>"-ZEVAP"</t>
  </si>
  <si>
    <t>PEM</t>
  </si>
  <si>
    <t>"-ZPEM"</t>
  </si>
  <si>
    <t>AUX</t>
  </si>
  <si>
    <t>AUX T1</t>
  </si>
  <si>
    <t>E1/E2</t>
  </si>
  <si>
    <t>E3/E4</t>
  </si>
  <si>
    <t>AUX HTR</t>
  </si>
  <si>
    <t>AUX LTR</t>
  </si>
  <si>
    <t>E4/E5</t>
  </si>
  <si>
    <t>E5/E6</t>
  </si>
  <si>
    <t>AUX LTR 2</t>
  </si>
  <si>
    <t>AUX HE</t>
  </si>
  <si>
    <t>E6AO/E7</t>
  </si>
  <si>
    <t>AUX T3</t>
  </si>
  <si>
    <t>AUX T2</t>
  </si>
  <si>
    <t>E15/E16</t>
  </si>
  <si>
    <t>AUX B2</t>
  </si>
  <si>
    <t>WB2</t>
  </si>
  <si>
    <t>WB2/WT3</t>
  </si>
  <si>
    <t>AUX EVAP</t>
  </si>
  <si>
    <t>C6BI</t>
  </si>
  <si>
    <t>C6AO</t>
  </si>
  <si>
    <t>C6AO3</t>
  </si>
  <si>
    <t>E6AI/E6AO3</t>
  </si>
  <si>
    <t>30 incognitas</t>
  </si>
  <si>
    <t>AUX COOLER</t>
  </si>
  <si>
    <t>E6AO3/E6AO</t>
  </si>
  <si>
    <t>E16/E17</t>
  </si>
  <si>
    <t>24 ecuaciones</t>
  </si>
  <si>
    <t>Cdot (USD/h)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</si>
  <si>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</si>
  <si>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</si>
  <si>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</si>
  <si>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</si>
  <si>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</si>
  <si>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</si>
  <si>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</si>
  <si>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</si>
  <si>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</si>
  <si>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</si>
  <si>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</si>
  <si>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</si>
  <si>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c6BI</t>
  </si>
  <si>
    <t>c6AI</t>
  </si>
  <si>
    <t>c6AO3</t>
  </si>
  <si>
    <t>c6AO</t>
  </si>
  <si>
    <t>c20</t>
  </si>
  <si>
    <t>c15</t>
  </si>
  <si>
    <t>c16</t>
  </si>
  <si>
    <t>c17</t>
  </si>
  <si>
    <t>c18</t>
  </si>
  <si>
    <t>cH2</t>
  </si>
  <si>
    <t>cO2</t>
  </si>
  <si>
    <t>cel</t>
  </si>
  <si>
    <t>Componente</t>
  </si>
  <si>
    <t>c19</t>
  </si>
  <si>
    <t>Evaporador ORC</t>
  </si>
  <si>
    <t>Turbina ORC</t>
  </si>
  <si>
    <t>Bomba ORC</t>
  </si>
  <si>
    <t>Condensador ORC</t>
  </si>
  <si>
    <t>HE-PEM</t>
  </si>
  <si>
    <t>Zdot (USD/h)</t>
  </si>
  <si>
    <t>ED (kW)</t>
  </si>
  <si>
    <t>CD (USD/h)</t>
  </si>
  <si>
    <t>f (%)</t>
  </si>
  <si>
    <t>Fluido</t>
  </si>
  <si>
    <t>Costo Unit. (USD/kWh_ex)</t>
  </si>
  <si>
    <t>LCOEn sistema [USD/kWh]</t>
  </si>
  <si>
    <t>c_H2 [USD/kWh_ex]</t>
  </si>
  <si>
    <t>c_el_bus interno [USD/kWh_ex]</t>
  </si>
  <si>
    <t>rc</t>
  </si>
  <si>
    <t>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</si>
</sst>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2" fillId="2" borderId="3" xfId="0" applyFont="1" applyFill="1" applyBorder="1" applyAlignment="1">
      <alignment horizontal="center"/>
    </xf>
    <xf numFmtId="0" fontId="2" fillId="0" borderId="0" xfId="0" applyFont="1"/>
    <xf numFmtId="2" fontId="3" fillId="0" borderId="0" xfId="0" applyNumberFormat="1" applyFont="1"/>
    <xf numFmtId="0" fontId="2" fillId="0" borderId="3" xfId="0" applyFont="1" applyBorder="1"/>
    <xf numFmtId="2" fontId="3" fillId="0" borderId="3" xfId="0" applyNumberFormat="1" applyFont="1" applyBorder="1"/>
    <xf numFmtId="0" fontId="1" fillId="0" borderId="0" xfId="0" applyFont="1"/>
    <xf numFmtId="0" fontId="1" fillId="0" borderId="3" xfId="0" applyFont="1" applyBorder="1"/>
    <xf numFmtId="2" fontId="0" fillId="0" borderId="3" xfId="0" applyNumberFormat="1" applyBorder="1"/>
    <xf numFmtId="165" fontId="0" fillId="0" borderId="3" xfId="0" applyNumberFormat="1" applyBorder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0" xfId="0" applyFont="1" applyFill="1"/>
    <xf numFmtId="0" fontId="0" fillId="3" borderId="0" xfId="0" applyFill="1"/>
    <xf numFmtId="9" fontId="0" fillId="0" borderId="0" xfId="1" applyFont="1" applyAlignment="1">
      <alignment horizontal="center" vertical="center"/>
    </xf>
    <xf numFmtId="2" fontId="2" fillId="0" borderId="0" xfId="0" applyNumberFormat="1" applyFont="1"/>
    <xf numFmtId="2" fontId="0" fillId="3" borderId="0" xfId="1" applyNumberFormat="1" applyFont="1" applyFill="1"/>
    <xf numFmtId="0" fontId="0" fillId="0" borderId="3" xfId="0" applyBorder="1"/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748145</xdr:colOff>
      <xdr:row>30</xdr:row>
      <xdr:rowOff>27709</xdr:rowOff>
    </xdr:from>
    <xdr:to>
      <xdr:col>19</xdr:col>
      <xdr:colOff>518172</xdr:colOff>
      <xdr:row>57</xdr:row>
      <xdr:rowOff>102952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FF9945-73F5-ECD6-453A-B89521C4E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4319" y="5593622"/>
          <a:ext cx="10358514" cy="50845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889D7-F248-4C3B-B68C-D47001A5CC86}">
  <dimension ref="B2:AH39"/>
  <sheetViews>
    <sheetView tabSelected="1" zoomScale="90" zoomScaleNormal="55" workbookViewId="0">
      <selection activeCell="B29" sqref="B29:H38"/>
    </sheetView>
  </sheetViews>
  <sheetFormatPr baseColWidth="10" defaultRowHeight="14.4" x14ac:dyDescent="0.3"/>
  <cols>
    <col min="1" max="1" width="11.5546875" style="17"/>
    <col min="2" max="2" width="5.5546875" style="17" bestFit="1" customWidth="1"/>
    <col min="3" max="4" width="18.6640625" style="17" bestFit="1" customWidth="1"/>
    <col min="5" max="5" width="16.44140625" style="17" bestFit="1" customWidth="1"/>
    <col min="6" max="6" width="20.5546875" style="17" bestFit="1" customWidth="1"/>
    <col min="7" max="7" width="20.88671875" style="17" bestFit="1" customWidth="1"/>
    <col min="8" max="8" width="12.77734375" style="17" bestFit="1" customWidth="1"/>
    <col min="9" max="9" width="12.6640625" style="17" bestFit="1" customWidth="1"/>
    <col min="10" max="10" width="23.44140625" style="17" bestFit="1" customWidth="1"/>
    <col min="11" max="11" width="15.6640625" style="17" bestFit="1" customWidth="1"/>
    <col min="12" max="12" width="14.88671875" style="17" bestFit="1" customWidth="1"/>
    <col min="13" max="13" width="13.5546875" style="17" bestFit="1" customWidth="1"/>
    <col min="14" max="14" width="17.88671875" style="17" bestFit="1" customWidth="1"/>
    <col min="15" max="16" width="19.109375" style="17" bestFit="1" customWidth="1"/>
    <col min="17" max="17" width="19" style="17" bestFit="1" customWidth="1"/>
    <col min="18" max="19" width="18.6640625" style="17" bestFit="1" customWidth="1"/>
    <col min="20" max="22" width="23.88671875" style="17" bestFit="1" customWidth="1"/>
    <col min="23" max="26" width="12" style="17" bestFit="1" customWidth="1"/>
    <col min="27" max="27" width="2" style="17" bestFit="1" customWidth="1"/>
    <col min="28" max="28" width="12" style="17" bestFit="1" customWidth="1"/>
    <col min="29" max="29" width="12.6640625" style="17" bestFit="1" customWidth="1"/>
    <col min="30" max="31" width="12" style="17" bestFit="1" customWidth="1"/>
    <col min="32" max="16384" width="11.5546875" style="17"/>
  </cols>
  <sheetData>
    <row r="2" spans="2:34" x14ac:dyDescent="0.3">
      <c r="B2" s="18" t="s">
        <v>0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</row>
    <row r="3" spans="2:34" x14ac:dyDescent="0.3">
      <c r="B3" s="19">
        <v>500</v>
      </c>
      <c r="C3" s="19">
        <v>7.9817560813786423E-2</v>
      </c>
      <c r="D3" s="17">
        <v>5.7478365564259748E-3</v>
      </c>
      <c r="E3" s="19">
        <v>44.1974892386704</v>
      </c>
      <c r="F3" s="19">
        <v>22.333328223050525</v>
      </c>
      <c r="G3" s="19">
        <v>42.909657240666718</v>
      </c>
      <c r="H3" s="19">
        <v>59.52618690796568</v>
      </c>
      <c r="I3" s="19">
        <v>58.057505047628197</v>
      </c>
      <c r="J3" s="19">
        <v>26</v>
      </c>
      <c r="K3" s="19">
        <v>0.10257759171348141</v>
      </c>
      <c r="L3" s="17">
        <v>0.91670339327938555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</row>
    <row r="4" spans="2:34" x14ac:dyDescent="0.3">
      <c r="B4" s="17">
        <v>550</v>
      </c>
      <c r="C4" s="17">
        <v>8.9819868548594597E-2</v>
      </c>
      <c r="D4" s="17">
        <v>5.9780007016897556E-3</v>
      </c>
      <c r="E4" s="17">
        <v>46.695266271232697</v>
      </c>
      <c r="F4" s="17">
        <v>23.167507795229405</v>
      </c>
      <c r="G4" s="17">
        <v>45.435199171379885</v>
      </c>
      <c r="H4" s="17">
        <v>59.443994763217077</v>
      </c>
      <c r="I4" s="17">
        <v>57.977325998141247</v>
      </c>
      <c r="J4" s="17">
        <v>26</v>
      </c>
      <c r="K4" s="17">
        <v>0.10653783387630139</v>
      </c>
      <c r="L4" s="17">
        <v>0.95209482105832444</v>
      </c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</row>
    <row r="5" spans="2:34" x14ac:dyDescent="0.3">
      <c r="B5" s="17">
        <v>600</v>
      </c>
      <c r="C5" s="17">
        <v>9.96793345829486E-2</v>
      </c>
      <c r="D5" s="17">
        <v>6.211193284684475E-3</v>
      </c>
      <c r="E5" s="17">
        <v>48.863771870449447</v>
      </c>
      <c r="F5" s="17">
        <v>23.701575419361824</v>
      </c>
      <c r="G5" s="17">
        <v>47.626800188040562</v>
      </c>
      <c r="H5" s="17">
        <v>59.363134451080114</v>
      </c>
      <c r="I5" s="17">
        <v>57.898446201289907</v>
      </c>
      <c r="J5" s="17">
        <v>26</v>
      </c>
      <c r="K5" s="17">
        <v>0.11054310840208127</v>
      </c>
      <c r="L5" s="17">
        <v>0.98788868877802594</v>
      </c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</row>
    <row r="6" spans="2:34" x14ac:dyDescent="0.3">
      <c r="B6" s="17">
        <v>650</v>
      </c>
      <c r="C6" s="17">
        <v>0.10942520132883478</v>
      </c>
      <c r="D6" s="17">
        <v>6.4473440004104016E-3</v>
      </c>
      <c r="E6" s="17">
        <v>50.766607886856718</v>
      </c>
      <c r="F6" s="17">
        <v>23.959454721561013</v>
      </c>
      <c r="G6" s="17">
        <v>49.549035428021313</v>
      </c>
      <c r="H6" s="17">
        <v>59.283542585562842</v>
      </c>
      <c r="I6" s="17">
        <v>57.82080382168391</v>
      </c>
      <c r="J6" s="17">
        <v>26</v>
      </c>
      <c r="K6" s="17">
        <v>0.11459210227772978</v>
      </c>
      <c r="L6" s="17">
        <v>1.024073262457061</v>
      </c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</row>
    <row r="7" spans="2:34" x14ac:dyDescent="0.3">
      <c r="B7" s="17">
        <v>700</v>
      </c>
      <c r="C7" s="17">
        <v>0.11907911442755229</v>
      </c>
      <c r="D7" s="17">
        <v>6.6863221481329119E-3</v>
      </c>
      <c r="E7" s="17">
        <v>52.451199641588161</v>
      </c>
      <c r="F7" s="17">
        <v>23.955025972260994</v>
      </c>
      <c r="G7" s="17">
        <v>51.250053435463514</v>
      </c>
      <c r="H7" s="17">
        <v>59.205180321408527</v>
      </c>
      <c r="I7" s="17">
        <v>57.744360963714044</v>
      </c>
      <c r="J7" s="17">
        <v>26</v>
      </c>
      <c r="K7" s="17">
        <v>0.11868247534446567</v>
      </c>
      <c r="L7" s="17">
        <v>1.0606276288388425</v>
      </c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</row>
    <row r="8" spans="2:34" x14ac:dyDescent="0.3">
      <c r="B8" s="17">
        <v>750</v>
      </c>
      <c r="C8" s="17">
        <v>0.12865749758364126</v>
      </c>
      <c r="D8" s="17">
        <v>6.927963040732895E-3</v>
      </c>
      <c r="E8" s="17">
        <v>53.9538380140431</v>
      </c>
      <c r="F8" s="17">
        <v>23.695038677100754</v>
      </c>
      <c r="G8" s="17">
        <v>52.766695897797455</v>
      </c>
      <c r="H8" s="17">
        <v>59.128022038629801</v>
      </c>
      <c r="I8" s="17">
        <v>57.669092633193216</v>
      </c>
      <c r="J8" s="17">
        <v>26</v>
      </c>
      <c r="K8" s="17">
        <v>0.12281132001508509</v>
      </c>
      <c r="L8" s="17">
        <v>1.0975258037389937</v>
      </c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</row>
    <row r="9" spans="2:34" x14ac:dyDescent="0.3">
      <c r="B9" s="17">
        <v>800.00000000000011</v>
      </c>
      <c r="C9" s="17">
        <v>0.13817310399416086</v>
      </c>
      <c r="D9" s="17">
        <v>7.1720857262984258E-3</v>
      </c>
      <c r="E9" s="17">
        <v>55.302895315550657</v>
      </c>
      <c r="F9" s="17">
        <v>23.18096972790984</v>
      </c>
      <c r="G9" s="17">
        <v>54.1277629959406</v>
      </c>
      <c r="H9" s="17">
        <v>59.052048428258885</v>
      </c>
      <c r="I9" s="17">
        <v>57.594979992439178</v>
      </c>
      <c r="J9" s="17">
        <v>26</v>
      </c>
      <c r="K9" s="17">
        <v>0.12697546806706361</v>
      </c>
      <c r="L9" s="17">
        <v>1.1347394737579666</v>
      </c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</row>
    <row r="10" spans="2:34" x14ac:dyDescent="0.3">
      <c r="B10" s="17">
        <v>850.00000000000011</v>
      </c>
      <c r="C10" s="17">
        <v>0.14763591018797936</v>
      </c>
      <c r="D10" s="17">
        <v>7.4185008301883553E-3</v>
      </c>
      <c r="E10" s="17">
        <v>56.520932003665166</v>
      </c>
      <c r="F10" s="17">
        <v>22.423582815351114</v>
      </c>
      <c r="G10" s="17">
        <v>55.389913311776915</v>
      </c>
      <c r="H10" s="17">
        <v>59.851049318689974</v>
      </c>
      <c r="I10" s="17">
        <v>58.666599502082221</v>
      </c>
      <c r="J10" s="17">
        <v>54.035636198177485</v>
      </c>
      <c r="K10" s="17">
        <v>0.13381494524769105</v>
      </c>
      <c r="L10" s="17">
        <v>1.1958617114222196</v>
      </c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</row>
    <row r="11" spans="2:34" x14ac:dyDescent="0.3">
      <c r="B11" s="20">
        <v>900.00000000000011</v>
      </c>
      <c r="C11" s="20">
        <v>0.15705390229949615</v>
      </c>
      <c r="D11" s="20">
        <v>7.6670200718972218E-3</v>
      </c>
      <c r="E11" s="20">
        <v>57.62617165599864</v>
      </c>
      <c r="F11" s="20">
        <v>21.389489601453477</v>
      </c>
      <c r="G11" s="20">
        <v>56.503920904775917</v>
      </c>
      <c r="H11" s="20">
        <v>59.781542759070248</v>
      </c>
      <c r="I11" s="20">
        <v>58.598902988138313</v>
      </c>
      <c r="J11" s="20">
        <v>54.114467173333594</v>
      </c>
      <c r="K11" s="20">
        <v>0.13813829320714302</v>
      </c>
      <c r="L11" s="20">
        <v>1.2344981005063695</v>
      </c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</row>
    <row r="12" spans="2:34" x14ac:dyDescent="0.3">
      <c r="B12" s="17">
        <v>800.00000000000011</v>
      </c>
      <c r="C12" s="17">
        <v>0.13817310399416086</v>
      </c>
      <c r="D12" s="17">
        <v>7.1720857262984258E-3</v>
      </c>
      <c r="E12" s="17">
        <v>55.302895315550657</v>
      </c>
      <c r="F12" s="17">
        <v>23.18096972790984</v>
      </c>
      <c r="G12" s="17">
        <v>54.1277629959406</v>
      </c>
      <c r="H12" s="17">
        <v>59.052048428258885</v>
      </c>
      <c r="I12" s="17">
        <v>57.594979992439178</v>
      </c>
      <c r="J12" s="17">
        <v>26</v>
      </c>
      <c r="K12" s="17">
        <v>0.12697546806706361</v>
      </c>
      <c r="L12" s="21">
        <v>1.1347394737579666</v>
      </c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</row>
    <row r="13" spans="2:34" x14ac:dyDescent="0.3"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</row>
    <row r="15" spans="2:34" x14ac:dyDescent="0.3">
      <c r="B15" s="18" t="s">
        <v>0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34" x14ac:dyDescent="0.3">
      <c r="B16" s="17">
        <v>500</v>
      </c>
      <c r="C16" s="17">
        <v>2.9485614292537941</v>
      </c>
      <c r="D16" s="17">
        <v>1.3564262301173839</v>
      </c>
      <c r="E16" s="17">
        <v>1.5119146157877403</v>
      </c>
      <c r="F16" s="17">
        <v>2.7713026251072881</v>
      </c>
      <c r="G16" s="17">
        <v>0.86111522976340527</v>
      </c>
      <c r="H16" s="17">
        <v>0.34017747966403838</v>
      </c>
      <c r="I16" s="17">
        <v>3.0281716564914243</v>
      </c>
      <c r="J16" s="17">
        <v>11.794615416517447</v>
      </c>
      <c r="K16" s="17">
        <v>138.63903314567469</v>
      </c>
      <c r="L16" s="17">
        <v>89.329858804423736</v>
      </c>
      <c r="M16" s="17">
        <v>2.3653610419403317</v>
      </c>
      <c r="N16" s="17">
        <v>1.6493321533075163</v>
      </c>
      <c r="O16" s="17">
        <v>6.6201750343054497</v>
      </c>
      <c r="P16" s="17">
        <v>3.0733893335012619</v>
      </c>
      <c r="Q16" s="17">
        <v>6.9940860806835565E-4</v>
      </c>
      <c r="R16" s="17">
        <v>0.635370308557899</v>
      </c>
      <c r="S16" s="17">
        <v>-0.14548588427793208</v>
      </c>
      <c r="T16" s="17">
        <v>346.59758286418668</v>
      </c>
      <c r="U16" s="17">
        <v>2.3954507028929144</v>
      </c>
      <c r="V16" s="17">
        <v>269.17546873163661</v>
      </c>
    </row>
    <row r="17" spans="2:26" x14ac:dyDescent="0.3">
      <c r="B17" s="17">
        <v>550</v>
      </c>
      <c r="C17" s="17">
        <v>2.9782296698241626</v>
      </c>
      <c r="D17" s="17">
        <v>1.3186805418472505</v>
      </c>
      <c r="E17" s="17">
        <v>1.521902528703853</v>
      </c>
      <c r="F17" s="17">
        <v>2.7837767920301411</v>
      </c>
      <c r="G17" s="17">
        <v>0.88983413920749443</v>
      </c>
      <c r="H17" s="17">
        <v>0.80540884684346381</v>
      </c>
      <c r="I17" s="17">
        <v>3.6495425807604551</v>
      </c>
      <c r="J17" s="17">
        <v>15.916416778681471</v>
      </c>
      <c r="K17" s="17">
        <v>150.74172785462781</v>
      </c>
      <c r="L17" s="17">
        <v>91.657429244218392</v>
      </c>
      <c r="M17" s="17">
        <v>2.3561415778958588</v>
      </c>
      <c r="N17" s="17">
        <v>1.6226905804250538</v>
      </c>
      <c r="O17" s="17">
        <v>7.0030101822417947</v>
      </c>
      <c r="P17" s="17">
        <v>3.2434672934535396</v>
      </c>
      <c r="Q17" s="17">
        <v>7.22799649886821E-4</v>
      </c>
      <c r="R17" s="17">
        <v>0.66545635698113537</v>
      </c>
      <c r="S17" s="17">
        <v>-0.119990923365371</v>
      </c>
      <c r="T17" s="17">
        <v>376.85431963656947</v>
      </c>
      <c r="U17" s="17">
        <v>2.4961883371474878</v>
      </c>
      <c r="V17" s="17">
        <v>289.53063518117392</v>
      </c>
    </row>
    <row r="18" spans="2:26" x14ac:dyDescent="0.3">
      <c r="B18" s="17">
        <v>600</v>
      </c>
      <c r="C18" s="17">
        <v>3.0072656005696845</v>
      </c>
      <c r="D18" s="17">
        <v>1.281507723530027</v>
      </c>
      <c r="E18" s="17">
        <v>1.5289907199523296</v>
      </c>
      <c r="F18" s="17">
        <v>2.7924530756981696</v>
      </c>
      <c r="G18" s="17">
        <v>0.91855320754454262</v>
      </c>
      <c r="H18" s="17">
        <v>1.3201571327557904</v>
      </c>
      <c r="I18" s="17">
        <v>4.2970000918122384</v>
      </c>
      <c r="J18" s="17">
        <v>21.237887994432182</v>
      </c>
      <c r="K18" s="17">
        <v>163.81075957825703</v>
      </c>
      <c r="L18" s="17">
        <v>94.28961039278758</v>
      </c>
      <c r="M18" s="17">
        <v>2.3462773513724104</v>
      </c>
      <c r="N18" s="17">
        <v>1.596332426419806</v>
      </c>
      <c r="O18" s="17">
        <v>7.3974316456089495</v>
      </c>
      <c r="P18" s="17">
        <v>3.4219548588824718</v>
      </c>
      <c r="Q18" s="17">
        <v>7.4619661227411441E-4</v>
      </c>
      <c r="R18" s="17">
        <v>0.69636622761943978</v>
      </c>
      <c r="S18" s="17">
        <v>-9.5734326195325889E-2</v>
      </c>
      <c r="T18" s="17">
        <v>409.52689894564264</v>
      </c>
      <c r="U18" s="17">
        <v>2.5984826855916676</v>
      </c>
      <c r="V18" s="17">
        <v>312.44604258325126</v>
      </c>
    </row>
    <row r="19" spans="2:26" x14ac:dyDescent="0.3">
      <c r="B19" s="17">
        <v>650</v>
      </c>
      <c r="C19" s="17">
        <v>3.0356893574921995</v>
      </c>
      <c r="D19" s="17">
        <v>1.2448910840925236</v>
      </c>
      <c r="E19" s="17">
        <v>1.5339874970301752</v>
      </c>
      <c r="F19" s="17">
        <v>2.7984221022535349</v>
      </c>
      <c r="G19" s="17">
        <v>0.94725497642047962</v>
      </c>
      <c r="H19" s="17">
        <v>1.8584739014314837</v>
      </c>
      <c r="I19" s="17">
        <v>4.9704374229532986</v>
      </c>
      <c r="J19" s="17">
        <v>28.08683671750898</v>
      </c>
      <c r="K19" s="17">
        <v>178.14389492497978</v>
      </c>
      <c r="L19" s="17">
        <v>97.339721439540327</v>
      </c>
      <c r="M19" s="17">
        <v>2.3358189626234509</v>
      </c>
      <c r="N19" s="17">
        <v>1.570268926036658</v>
      </c>
      <c r="O19" s="17">
        <v>7.8033521734467595</v>
      </c>
      <c r="P19" s="17">
        <v>3.6092888254336803</v>
      </c>
      <c r="Q19" s="17">
        <v>7.6958539798279801E-4</v>
      </c>
      <c r="R19" s="17">
        <v>0.72811563723715711</v>
      </c>
      <c r="S19" s="17">
        <v>-7.2692234555451665E-2</v>
      </c>
      <c r="T19" s="17">
        <v>445.35973731244945</v>
      </c>
      <c r="U19" s="17">
        <v>2.7023063544155743</v>
      </c>
      <c r="V19" s="17">
        <v>338.6368376537385</v>
      </c>
    </row>
    <row r="20" spans="2:26" x14ac:dyDescent="0.3">
      <c r="B20" s="17">
        <v>700</v>
      </c>
      <c r="C20" s="17">
        <v>3.063513184167503</v>
      </c>
      <c r="D20" s="17">
        <v>1.208823944950167</v>
      </c>
      <c r="E20" s="17">
        <v>1.5374467368248153</v>
      </c>
      <c r="F20" s="17">
        <v>2.8024408784225816</v>
      </c>
      <c r="G20" s="17">
        <v>0.97591533622180304</v>
      </c>
      <c r="H20" s="17">
        <v>2.40314755285962</v>
      </c>
      <c r="I20" s="17">
        <v>5.6695500958230554</v>
      </c>
      <c r="J20" s="17">
        <v>36.894255484164844</v>
      </c>
      <c r="K20" s="17">
        <v>194.12004412755883</v>
      </c>
      <c r="L20" s="17">
        <v>100.93942961581514</v>
      </c>
      <c r="M20" s="17">
        <v>2.3248171675699569</v>
      </c>
      <c r="N20" s="17">
        <v>1.544517183389571</v>
      </c>
      <c r="O20" s="17">
        <v>8.2205630927133253</v>
      </c>
      <c r="P20" s="17">
        <v>3.8058664245570188</v>
      </c>
      <c r="Q20" s="17">
        <v>7.9294647204591136E-4</v>
      </c>
      <c r="R20" s="17">
        <v>0.76071243566216995</v>
      </c>
      <c r="S20" s="17">
        <v>-5.0845216937889411E-2</v>
      </c>
      <c r="T20" s="17">
        <v>485.30011031889705</v>
      </c>
      <c r="U20" s="17">
        <v>2.807605122699155</v>
      </c>
      <c r="V20" s="17">
        <v>369.02859611293366</v>
      </c>
    </row>
    <row r="21" spans="2:26" x14ac:dyDescent="0.3">
      <c r="B21" s="17">
        <v>750</v>
      </c>
      <c r="C21" s="17">
        <v>3.0907455465127787</v>
      </c>
      <c r="D21" s="17">
        <v>1.1733045407099962</v>
      </c>
      <c r="E21" s="17">
        <v>1.5397884766306962</v>
      </c>
      <c r="F21" s="17">
        <v>2.8050183820071397</v>
      </c>
      <c r="G21" s="17">
        <v>1.0045071167206743</v>
      </c>
      <c r="H21" s="17">
        <v>2.9426310690947575</v>
      </c>
      <c r="I21" s="17">
        <v>6.3938950186234722</v>
      </c>
      <c r="J21" s="17">
        <v>48.238346125543394</v>
      </c>
      <c r="K21" s="17">
        <v>212.23823419605003</v>
      </c>
      <c r="L21" s="17">
        <v>105.25356004225264</v>
      </c>
      <c r="M21" s="17">
        <v>2.3133222369557052</v>
      </c>
      <c r="N21" s="17">
        <v>1.519096652861311</v>
      </c>
      <c r="O21" s="17">
        <v>8.6487738547050501</v>
      </c>
      <c r="P21" s="17">
        <v>4.0120580558999741</v>
      </c>
      <c r="Q21" s="17">
        <v>8.1625778220241149E-4</v>
      </c>
      <c r="R21" s="17">
        <v>0.79415965355949536</v>
      </c>
      <c r="S21" s="17">
        <v>-3.0174434344084518E-2</v>
      </c>
      <c r="T21" s="17">
        <v>530.59558549012502</v>
      </c>
      <c r="U21" s="17">
        <v>2.9143093275293408</v>
      </c>
      <c r="V21" s="17">
        <v>404.85239211909459</v>
      </c>
    </row>
    <row r="22" spans="2:26" x14ac:dyDescent="0.3">
      <c r="B22" s="17">
        <v>800.00000000000011</v>
      </c>
      <c r="C22" s="17">
        <v>3.1173934843303797</v>
      </c>
      <c r="D22" s="17">
        <v>1.1383330527634061</v>
      </c>
      <c r="E22" s="17">
        <v>1.5412694860114715</v>
      </c>
      <c r="F22" s="17">
        <v>2.8065325482354964</v>
      </c>
      <c r="G22" s="17">
        <v>1.0330018156282741</v>
      </c>
      <c r="H22" s="17">
        <v>3.4691288051130833</v>
      </c>
      <c r="I22" s="17">
        <v>7.1429330882120778</v>
      </c>
      <c r="J22" s="17">
        <v>62.913606293226934</v>
      </c>
      <c r="K22" s="17">
        <v>233.17709736516051</v>
      </c>
      <c r="L22" s="17">
        <v>110.50043569183623</v>
      </c>
      <c r="M22" s="17">
        <v>2.3013833668177122</v>
      </c>
      <c r="N22" s="17">
        <v>1.4940269956205496</v>
      </c>
      <c r="O22" s="17">
        <v>9.087639387171599</v>
      </c>
      <c r="P22" s="17">
        <v>4.2282153795985042</v>
      </c>
      <c r="Q22" s="17">
        <v>8.3949658717156963E-4</v>
      </c>
      <c r="R22" s="17">
        <v>0.82845750521160622</v>
      </c>
      <c r="S22" s="17">
        <v>-1.0659667984780519E-2</v>
      </c>
      <c r="T22" s="17">
        <v>582.94274341290134</v>
      </c>
      <c r="U22" s="17">
        <v>3.0223415591440466</v>
      </c>
      <c r="V22" s="17">
        <v>447.79197565268419</v>
      </c>
      <c r="W22" s="21"/>
      <c r="X22" s="21"/>
      <c r="Y22" s="21"/>
      <c r="Z22" s="21"/>
    </row>
    <row r="23" spans="2:26" x14ac:dyDescent="0.3">
      <c r="B23" s="17">
        <v>850.00000000000011</v>
      </c>
      <c r="C23" s="17">
        <v>3.1434638349221058</v>
      </c>
      <c r="D23" s="17">
        <v>1.1039100202102636</v>
      </c>
      <c r="E23" s="17">
        <v>1.5421068241741742</v>
      </c>
      <c r="F23" s="17">
        <v>2.8072526540154357</v>
      </c>
      <c r="G23" s="17">
        <v>1.0613726985385084</v>
      </c>
      <c r="H23" s="17">
        <v>3.9773664473136887</v>
      </c>
      <c r="I23" s="17">
        <v>7.9160573066213615</v>
      </c>
      <c r="J23" s="17">
        <v>82.043236087615213</v>
      </c>
      <c r="K23" s="17">
        <v>257.89040913785033</v>
      </c>
      <c r="L23" s="17">
        <v>116.98291458223341</v>
      </c>
      <c r="M23" s="17">
        <v>2.2890482532119778</v>
      </c>
      <c r="N23" s="17">
        <v>1.4693269107716009</v>
      </c>
      <c r="O23" s="17">
        <v>9.5367775019646093</v>
      </c>
      <c r="P23" s="17">
        <v>4.454676084145361</v>
      </c>
      <c r="Q23" s="17">
        <v>8.6264049813098787E-4</v>
      </c>
      <c r="R23" s="17">
        <v>0.86360461913449049</v>
      </c>
      <c r="S23" s="17">
        <v>5.8792565607020501E-3</v>
      </c>
      <c r="T23" s="17">
        <v>644.72602284462573</v>
      </c>
      <c r="U23" s="17">
        <v>3.0470747563831502</v>
      </c>
      <c r="V23" s="17">
        <v>500.13533961616463</v>
      </c>
      <c r="W23" s="21"/>
      <c r="X23" s="21"/>
      <c r="Y23" s="21"/>
      <c r="Z23" s="21"/>
    </row>
    <row r="24" spans="2:26" x14ac:dyDescent="0.3">
      <c r="B24" s="20">
        <v>900.00000000000011</v>
      </c>
      <c r="C24" s="20">
        <v>3.1689638838626562</v>
      </c>
      <c r="D24" s="20">
        <v>1.070035455695117</v>
      </c>
      <c r="E24" s="20">
        <v>1.5424567100955173</v>
      </c>
      <c r="F24" s="20">
        <v>2.8073738467151998</v>
      </c>
      <c r="G24" s="20">
        <v>1.089593190999959</v>
      </c>
      <c r="H24" s="20">
        <v>4.4638000501786594</v>
      </c>
      <c r="I24" s="20">
        <v>8.7126139107183764</v>
      </c>
      <c r="J24" s="20">
        <v>107.27029753288905</v>
      </c>
      <c r="K24" s="20">
        <v>287.7689864409565</v>
      </c>
      <c r="L24" s="20">
        <v>125.14003470369184</v>
      </c>
      <c r="M24" s="20">
        <v>2.2763627598696385</v>
      </c>
      <c r="N24" s="20">
        <v>1.4450134624539273</v>
      </c>
      <c r="O24" s="20">
        <v>9.9957814728889982</v>
      </c>
      <c r="P24" s="20">
        <v>4.6917661365454695</v>
      </c>
      <c r="Q24" s="20">
        <v>8.8566811717443004E-4</v>
      </c>
      <c r="R24" s="20">
        <v>0.89959878338048638</v>
      </c>
      <c r="S24" s="20">
        <v>2.308222780014408E-2</v>
      </c>
      <c r="T24" s="20">
        <v>719.42246610239113</v>
      </c>
      <c r="U24" s="20">
        <v>3.1543702236463185</v>
      </c>
      <c r="V24" s="20">
        <v>565.52101646050482</v>
      </c>
      <c r="W24" s="21"/>
      <c r="X24" s="21"/>
      <c r="Y24" s="21"/>
      <c r="Z24" s="21"/>
    </row>
    <row r="25" spans="2:26" x14ac:dyDescent="0.3">
      <c r="B25" s="17">
        <v>800.00000000000011</v>
      </c>
      <c r="C25" s="17">
        <v>3.1173934843303797</v>
      </c>
      <c r="D25" s="17">
        <v>1.1383330527634061</v>
      </c>
      <c r="E25" s="17">
        <v>1.5412694860114715</v>
      </c>
      <c r="F25" s="17">
        <v>2.8065325482354964</v>
      </c>
      <c r="G25" s="17">
        <v>1.0330018156282741</v>
      </c>
      <c r="H25" s="17">
        <v>3.4691288051130833</v>
      </c>
      <c r="I25" s="17">
        <v>7.1429330882120778</v>
      </c>
      <c r="J25" s="17">
        <v>62.913606293226934</v>
      </c>
      <c r="K25" s="17">
        <v>233.17709736516051</v>
      </c>
      <c r="L25" s="17">
        <v>110.50043569183623</v>
      </c>
      <c r="M25" s="17">
        <v>2.3013833668177122</v>
      </c>
      <c r="N25" s="17">
        <v>1.4940269956205496</v>
      </c>
      <c r="O25" s="17">
        <v>9.087639387171599</v>
      </c>
      <c r="P25" s="17">
        <v>4.2282153795985042</v>
      </c>
      <c r="Q25" s="17">
        <v>8.3949658717156963E-4</v>
      </c>
      <c r="R25" s="17">
        <v>0.82845750521160622</v>
      </c>
      <c r="S25" s="17">
        <v>-1.0659667984780519E-2</v>
      </c>
      <c r="T25" s="17">
        <v>582.94274341290134</v>
      </c>
      <c r="U25" s="17">
        <v>3.0223415591440466</v>
      </c>
      <c r="V25" s="17">
        <v>447.79197565268419</v>
      </c>
      <c r="W25" s="21"/>
      <c r="X25" s="21"/>
      <c r="Y25" s="21"/>
      <c r="Z25" s="21"/>
    </row>
    <row r="27" spans="2:26" x14ac:dyDescent="0.3">
      <c r="F27" s="21"/>
      <c r="G27" s="21"/>
      <c r="H27" s="21"/>
    </row>
    <row r="28" spans="2:26" x14ac:dyDescent="0.3">
      <c r="B28" s="18" t="s">
        <v>0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6" x14ac:dyDescent="0.3">
      <c r="B29" s="17">
        <v>500</v>
      </c>
      <c r="C29" s="17">
        <v>0.77662246374381749</v>
      </c>
      <c r="D29" s="17">
        <v>3.4774148124606663</v>
      </c>
      <c r="E29" s="21">
        <v>0.28756994892202298</v>
      </c>
      <c r="F29" s="21"/>
      <c r="G29"/>
      <c r="H29">
        <v>22.337753625618252</v>
      </c>
      <c r="I29" s="25"/>
      <c r="J29" s="25"/>
    </row>
    <row r="30" spans="2:26" x14ac:dyDescent="0.3">
      <c r="B30" s="17">
        <v>550</v>
      </c>
      <c r="C30" s="17">
        <v>0.76828264954052083</v>
      </c>
      <c r="D30" s="17">
        <v>3.3162075797325237</v>
      </c>
      <c r="E30" s="21">
        <v>0.30154927758794198</v>
      </c>
      <c r="F30" s="21"/>
      <c r="G30"/>
      <c r="H30">
        <v>23.171735045947916</v>
      </c>
      <c r="I30" s="25"/>
      <c r="J30" s="25"/>
    </row>
    <row r="31" spans="2:26" x14ac:dyDescent="0.3">
      <c r="B31" s="17">
        <v>600</v>
      </c>
      <c r="C31" s="17">
        <v>0.76294388326546259</v>
      </c>
      <c r="D31" s="17">
        <v>3.2189585281416084</v>
      </c>
      <c r="E31" s="21">
        <v>0.31065948543839333</v>
      </c>
      <c r="F31" s="21"/>
      <c r="G31"/>
      <c r="H31">
        <v>23.705611673453742</v>
      </c>
      <c r="I31" s="25"/>
      <c r="J31" s="25"/>
    </row>
    <row r="32" spans="2:26" x14ac:dyDescent="0.3">
      <c r="B32" s="17">
        <v>650</v>
      </c>
      <c r="C32" s="17">
        <v>0.76036697815851795</v>
      </c>
      <c r="D32" s="17">
        <v>3.173557107183524</v>
      </c>
      <c r="E32" s="21">
        <v>0.31510383025294991</v>
      </c>
      <c r="F32" s="21">
        <v>1.093327961204547E-2</v>
      </c>
      <c r="G32">
        <v>0.64504504553621222</v>
      </c>
      <c r="H32">
        <v>23.963302184148215</v>
      </c>
      <c r="I32" s="25"/>
      <c r="J32" s="25"/>
    </row>
    <row r="33" spans="2:10" x14ac:dyDescent="0.3">
      <c r="B33" s="17">
        <v>700</v>
      </c>
      <c r="C33" s="17">
        <v>0.76041317169790079</v>
      </c>
      <c r="D33" s="17">
        <v>3.1743366614522994</v>
      </c>
      <c r="E33" s="21">
        <v>0.31502644698766363</v>
      </c>
      <c r="F33" s="21">
        <v>1.0936752307543264E-2</v>
      </c>
      <c r="G33">
        <v>0.64523538397644631</v>
      </c>
      <c r="H33">
        <v>23.95868283020992</v>
      </c>
      <c r="I33" s="25"/>
      <c r="J33" s="25"/>
    </row>
    <row r="34" spans="2:10" x14ac:dyDescent="0.3">
      <c r="B34" s="17">
        <v>750</v>
      </c>
      <c r="C34" s="17">
        <v>0.76301500274473988</v>
      </c>
      <c r="D34" s="17">
        <v>3.2201466861589432</v>
      </c>
      <c r="E34" s="21">
        <v>0.31054485943086663</v>
      </c>
      <c r="F34" s="21"/>
      <c r="G34"/>
      <c r="H34">
        <v>23.698499725526013</v>
      </c>
      <c r="I34" s="25"/>
      <c r="J34" s="25"/>
    </row>
    <row r="35" spans="2:10" x14ac:dyDescent="0.3">
      <c r="B35" s="17">
        <v>800.00000000000011</v>
      </c>
      <c r="C35" s="17">
        <v>0.76815773197730819</v>
      </c>
      <c r="D35" s="17">
        <v>3.3137428718197577</v>
      </c>
      <c r="E35" s="21">
        <v>0.30177356502342179</v>
      </c>
      <c r="F35" s="21">
        <v>1.0946804887868034E-2</v>
      </c>
      <c r="G35">
        <v>0.64578636590404692</v>
      </c>
      <c r="H35">
        <v>23.18422680226918</v>
      </c>
      <c r="I35" s="25"/>
      <c r="J35" s="25"/>
    </row>
    <row r="36" spans="2:10" x14ac:dyDescent="0.3">
      <c r="B36" s="17">
        <v>850.00000000000011</v>
      </c>
      <c r="C36" s="17">
        <v>0.7757331360839046</v>
      </c>
      <c r="D36" s="17">
        <v>3.4594522314821168</v>
      </c>
      <c r="E36" s="17">
        <v>0.28906310395029639</v>
      </c>
      <c r="F36" s="21">
        <v>1.0948878679185562E-2</v>
      </c>
      <c r="G36">
        <v>0.64590003040616073</v>
      </c>
      <c r="H36">
        <v>22.42668639160954</v>
      </c>
    </row>
    <row r="37" spans="2:10" x14ac:dyDescent="0.3">
      <c r="B37" s="20">
        <v>900.00000000000011</v>
      </c>
      <c r="C37" s="20">
        <v>0.78607639197636292</v>
      </c>
      <c r="D37" s="20">
        <v>3.6750591370957575</v>
      </c>
      <c r="E37" s="20">
        <v>0.27210446490672185</v>
      </c>
      <c r="F37" s="20">
        <v>1.0952326373580519E-2</v>
      </c>
      <c r="G37" s="20">
        <v>0.64608899853594826</v>
      </c>
      <c r="H37" s="20">
        <v>21.392360802363719</v>
      </c>
    </row>
    <row r="38" spans="2:10" x14ac:dyDescent="0.3">
      <c r="B38" s="17">
        <v>800.00000000000011</v>
      </c>
      <c r="C38" s="17">
        <v>0.76815773197730819</v>
      </c>
      <c r="D38" s="17">
        <v>3.3137428718197577</v>
      </c>
      <c r="E38" s="17">
        <v>0.30177356502342179</v>
      </c>
      <c r="F38" s="17">
        <v>1.0946804887868034E-2</v>
      </c>
      <c r="G38" s="17">
        <v>0.64578636590404692</v>
      </c>
      <c r="H38" s="21">
        <v>23.18422680226918</v>
      </c>
    </row>
    <row r="39" spans="2:10" x14ac:dyDescent="0.3">
      <c r="F39" s="21"/>
      <c r="G39" s="21"/>
      <c r="H3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8F8E6-609F-4748-8A52-08E74E409D1F}">
  <dimension ref="B2:V34"/>
  <sheetViews>
    <sheetView workbookViewId="0">
      <selection activeCell="B29" sqref="B29:H34"/>
    </sheetView>
  </sheetViews>
  <sheetFormatPr baseColWidth="10" defaultRowHeight="14.4" x14ac:dyDescent="0.3"/>
  <cols>
    <col min="1" max="9" width="11.5546875" style="17"/>
    <col min="10" max="10" width="15" style="17" customWidth="1"/>
    <col min="11" max="16384" width="11.5546875" style="17"/>
  </cols>
  <sheetData>
    <row r="2" spans="2:22" x14ac:dyDescent="0.3">
      <c r="B2" s="18" t="s">
        <v>243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</row>
    <row r="3" spans="2:22" x14ac:dyDescent="0.3">
      <c r="B3" s="17">
        <v>2.5</v>
      </c>
      <c r="C3" s="17">
        <v>0.14816689369741928</v>
      </c>
      <c r="D3" s="17">
        <v>6.7342358759702702E-3</v>
      </c>
      <c r="E3" s="17">
        <v>56.964645761388169</v>
      </c>
      <c r="F3" s="17">
        <v>21.177717530176274</v>
      </c>
      <c r="G3" s="17">
        <v>55.941806182451671</v>
      </c>
      <c r="H3" s="17">
        <v>60.13539183455795</v>
      </c>
      <c r="I3" s="17">
        <v>58.972944791760909</v>
      </c>
      <c r="J3" s="17">
        <v>56.632627091431857</v>
      </c>
      <c r="K3" s="17">
        <v>0.12211214723233685</v>
      </c>
      <c r="L3" s="17">
        <v>1.0912775183997925</v>
      </c>
    </row>
    <row r="4" spans="2:22" x14ac:dyDescent="0.3">
      <c r="B4" s="17">
        <v>2.7</v>
      </c>
      <c r="C4" s="17">
        <v>0.15566697058060769</v>
      </c>
      <c r="D4" s="17">
        <v>7.5293584802110817E-3</v>
      </c>
      <c r="E4" s="17">
        <v>57.545256030232352</v>
      </c>
      <c r="F4" s="17">
        <v>21.364087267029952</v>
      </c>
      <c r="G4" s="17">
        <v>56.436459797130688</v>
      </c>
      <c r="H4" s="17">
        <v>59.83266920833421</v>
      </c>
      <c r="I4" s="17">
        <v>58.653227949931896</v>
      </c>
      <c r="J4" s="17">
        <v>54.509173803592262</v>
      </c>
      <c r="K4" s="17">
        <v>0.13578470918644805</v>
      </c>
      <c r="L4" s="17">
        <v>1.2134648668137162</v>
      </c>
    </row>
    <row r="5" spans="2:22" x14ac:dyDescent="0.3">
      <c r="B5" s="17">
        <v>2.9</v>
      </c>
      <c r="C5" s="17">
        <v>0.16227893989998951</v>
      </c>
      <c r="D5" s="17">
        <v>8.1624683336946058E-3</v>
      </c>
      <c r="E5" s="17">
        <v>57.867796024364097</v>
      </c>
      <c r="F5" s="17">
        <v>21.451381804251511</v>
      </c>
      <c r="G5" s="17">
        <v>56.667788907976181</v>
      </c>
      <c r="H5" s="17">
        <v>58.761692285486703</v>
      </c>
      <c r="I5" s="17">
        <v>57.311736430927176</v>
      </c>
      <c r="J5" s="17">
        <v>26</v>
      </c>
      <c r="K5" s="17">
        <v>0.14379864522624392</v>
      </c>
      <c r="L5" s="17">
        <v>1.285082870692426</v>
      </c>
    </row>
    <row r="6" spans="2:22" x14ac:dyDescent="0.3">
      <c r="B6" s="17">
        <v>3.1</v>
      </c>
      <c r="C6" s="17">
        <v>0.16816932560061704</v>
      </c>
      <c r="D6" s="17">
        <v>8.686527999868951E-3</v>
      </c>
      <c r="E6" s="17">
        <v>58.033954827081338</v>
      </c>
      <c r="F6" s="17">
        <v>21.498673305116203</v>
      </c>
      <c r="G6" s="17">
        <v>56.79378761358371</v>
      </c>
      <c r="H6" s="17">
        <v>58.618045868696775</v>
      </c>
      <c r="I6" s="17">
        <v>57.171608974412401</v>
      </c>
      <c r="J6" s="17">
        <v>26</v>
      </c>
      <c r="K6" s="17">
        <v>0.15265687096659597</v>
      </c>
      <c r="L6" s="17">
        <v>1.3642460237648557</v>
      </c>
    </row>
    <row r="7" spans="2:22" x14ac:dyDescent="0.3">
      <c r="B7" s="17">
        <v>3.3</v>
      </c>
      <c r="C7" s="17">
        <v>0.17345261418436411</v>
      </c>
      <c r="D7" s="17">
        <v>9.1364978290003895E-3</v>
      </c>
      <c r="E7" s="17">
        <v>58.09849493424899</v>
      </c>
      <c r="F7" s="17">
        <v>21.511617804235726</v>
      </c>
      <c r="G7" s="17">
        <v>56.828779788176234</v>
      </c>
      <c r="H7" s="17">
        <v>58.499426691536961</v>
      </c>
      <c r="I7" s="17">
        <v>57.055895750215626</v>
      </c>
      <c r="J7" s="17">
        <v>26</v>
      </c>
      <c r="K7" s="17">
        <v>0.16023965484701469</v>
      </c>
      <c r="L7" s="17">
        <v>1.4320109575829549</v>
      </c>
    </row>
    <row r="8" spans="2:22" x14ac:dyDescent="0.3">
      <c r="B8" s="17">
        <v>3.5</v>
      </c>
      <c r="C8" s="17">
        <v>0.17821771118453278</v>
      </c>
      <c r="D8" s="17">
        <v>9.5336854968264082E-3</v>
      </c>
      <c r="E8" s="17">
        <v>58.093587340872254</v>
      </c>
      <c r="F8" s="17">
        <v>21.500883358703305</v>
      </c>
      <c r="G8" s="17">
        <v>56.801054877285281</v>
      </c>
      <c r="H8" s="17">
        <v>58.397997958337498</v>
      </c>
      <c r="I8" s="17">
        <v>56.956951903247862</v>
      </c>
      <c r="J8" s="17">
        <v>26</v>
      </c>
      <c r="K8" s="17">
        <v>0.16691573452926184</v>
      </c>
      <c r="L8" s="17">
        <v>1.4916729636438284</v>
      </c>
    </row>
    <row r="15" spans="2:22" x14ac:dyDescent="0.3">
      <c r="B15" s="18" t="s">
        <v>243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22" x14ac:dyDescent="0.3">
      <c r="B16" s="17">
        <v>2.5</v>
      </c>
      <c r="C16" s="17">
        <v>2.6648478767473245</v>
      </c>
      <c r="D16" s="17">
        <v>0.98637006924873272</v>
      </c>
      <c r="E16" s="17">
        <v>1.5424567100955173</v>
      </c>
      <c r="F16" s="17">
        <v>2.3988101530183341</v>
      </c>
      <c r="G16" s="17">
        <v>0.99703770676192471</v>
      </c>
      <c r="H16" s="17">
        <v>6.9476550741795799</v>
      </c>
      <c r="I16" s="17">
        <v>9.2492997745483656</v>
      </c>
      <c r="J16" s="17">
        <v>102.3755615721311</v>
      </c>
      <c r="K16" s="17">
        <v>274.63810828811501</v>
      </c>
      <c r="L16" s="17">
        <v>119.16108401865955</v>
      </c>
      <c r="M16" s="17">
        <v>2.5016228555001572</v>
      </c>
      <c r="N16" s="17">
        <v>1.6009092589635576</v>
      </c>
      <c r="O16" s="17">
        <v>8.1751551300820342</v>
      </c>
      <c r="P16" s="17">
        <v>3.7000428190667423</v>
      </c>
      <c r="Q16" s="17">
        <v>8.0994118158368082E-4</v>
      </c>
      <c r="R16" s="17">
        <v>0.75406058026615341</v>
      </c>
      <c r="S16" s="17">
        <v>0.73255540084823856</v>
      </c>
      <c r="T16" s="17">
        <v>686.59527072028743</v>
      </c>
      <c r="U16" s="17">
        <v>2.7454173458677973</v>
      </c>
      <c r="V16" s="17">
        <v>541.17180457528173</v>
      </c>
    </row>
    <row r="17" spans="2:22" x14ac:dyDescent="0.3">
      <c r="B17" s="17">
        <v>2.7</v>
      </c>
      <c r="C17" s="17">
        <v>3.0873746791042942</v>
      </c>
      <c r="D17" s="17">
        <v>1.0581726709377508</v>
      </c>
      <c r="E17" s="17">
        <v>1.5424567100955173</v>
      </c>
      <c r="F17" s="17">
        <v>2.74151919271308</v>
      </c>
      <c r="G17" s="17">
        <v>1.0765328210015159</v>
      </c>
      <c r="H17" s="17">
        <v>4.8122007797128168</v>
      </c>
      <c r="I17" s="17">
        <v>8.7983787257595463</v>
      </c>
      <c r="J17" s="17">
        <v>106.47250431367063</v>
      </c>
      <c r="K17" s="17">
        <v>285.62878406094933</v>
      </c>
      <c r="L17" s="17">
        <v>124.16319568817148</v>
      </c>
      <c r="M17" s="17">
        <v>2.3094414175745959</v>
      </c>
      <c r="N17" s="17">
        <v>1.4669494851758738</v>
      </c>
      <c r="O17" s="17">
        <v>9.724441884323193</v>
      </c>
      <c r="P17" s="17">
        <v>4.529450195716997</v>
      </c>
      <c r="Q17" s="17">
        <v>8.7497071764366474E-4</v>
      </c>
      <c r="R17" s="17">
        <v>0.87717648611728305</v>
      </c>
      <c r="S17" s="17">
        <v>0.11360130264901518</v>
      </c>
      <c r="T17" s="17">
        <v>714.07196015237332</v>
      </c>
      <c r="U17" s="17">
        <v>3.0936444427711418</v>
      </c>
      <c r="V17" s="17">
        <v>561.49669982716159</v>
      </c>
    </row>
    <row r="18" spans="2:22" x14ac:dyDescent="0.3">
      <c r="B18" s="17">
        <v>2.9</v>
      </c>
      <c r="C18" s="17">
        <v>3.4833349591886873</v>
      </c>
      <c r="D18" s="17">
        <v>1.1128283922583833</v>
      </c>
      <c r="E18" s="17">
        <v>1.5424567100955173</v>
      </c>
      <c r="F18" s="17">
        <v>3.0626461462244623</v>
      </c>
      <c r="G18" s="17">
        <v>1.134911883330149</v>
      </c>
      <c r="H18" s="17">
        <v>3.2619581509413549</v>
      </c>
      <c r="I18" s="17">
        <v>8.3890102350076639</v>
      </c>
      <c r="J18" s="17">
        <v>110.37627722141367</v>
      </c>
      <c r="K18" s="17">
        <v>296.10125219792326</v>
      </c>
      <c r="L18" s="17">
        <v>128.95181516126439</v>
      </c>
      <c r="M18" s="17">
        <v>2.1580349110813133</v>
      </c>
      <c r="N18" s="17">
        <v>1.3689926224369802</v>
      </c>
      <c r="O18" s="17">
        <v>10.97919765967354</v>
      </c>
      <c r="P18" s="17">
        <v>5.3268577223470821</v>
      </c>
      <c r="Q18" s="17">
        <v>9.2282153852808952E-4</v>
      </c>
      <c r="R18" s="17">
        <v>0.98324170106960251</v>
      </c>
      <c r="S18" s="17">
        <v>-0.25955065955024703</v>
      </c>
      <c r="T18" s="17">
        <v>740.25313049480803</v>
      </c>
      <c r="U18" s="17">
        <v>3.4629181106772062</v>
      </c>
      <c r="V18" s="17">
        <v>581.43710594692186</v>
      </c>
    </row>
    <row r="19" spans="2:22" x14ac:dyDescent="0.3">
      <c r="B19" s="17">
        <v>3.1</v>
      </c>
      <c r="C19" s="17">
        <v>3.849845505000594</v>
      </c>
      <c r="D19" s="17">
        <v>1.1592727723247735</v>
      </c>
      <c r="E19" s="17">
        <v>1.5424567100955173</v>
      </c>
      <c r="F19" s="17">
        <v>3.3649348540762438</v>
      </c>
      <c r="G19" s="17">
        <v>1.180098670358233</v>
      </c>
      <c r="H19" s="17">
        <v>2.0882936759883304</v>
      </c>
      <c r="I19" s="17">
        <v>8.0256331977169904</v>
      </c>
      <c r="J19" s="17">
        <v>114.05521230881628</v>
      </c>
      <c r="K19" s="17">
        <v>305.9705584796489</v>
      </c>
      <c r="L19" s="17">
        <v>133.48492502395891</v>
      </c>
      <c r="M19" s="17">
        <v>2.0354357212835343</v>
      </c>
      <c r="N19" s="17">
        <v>1.2936007375318763</v>
      </c>
      <c r="O19" s="17">
        <v>12.030465799378224</v>
      </c>
      <c r="P19" s="17">
        <v>6.0914841011854417</v>
      </c>
      <c r="Q19" s="17">
        <v>9.5992122731354003E-4</v>
      </c>
      <c r="R19" s="17">
        <v>1.0770012172548296</v>
      </c>
      <c r="S19" s="17">
        <v>-0.493111310371803</v>
      </c>
      <c r="T19" s="17">
        <v>764.92639619912222</v>
      </c>
      <c r="U19" s="17">
        <v>3.6974779927046795</v>
      </c>
      <c r="V19" s="17">
        <v>600.45454537817875</v>
      </c>
    </row>
    <row r="20" spans="2:22" x14ac:dyDescent="0.3">
      <c r="B20" s="17">
        <v>3.3</v>
      </c>
      <c r="C20" s="17">
        <v>4.1897807746840847</v>
      </c>
      <c r="D20" s="17">
        <v>1.2005121499819216</v>
      </c>
      <c r="E20" s="17">
        <v>1.5424567100955173</v>
      </c>
      <c r="F20" s="17">
        <v>3.6506399459165988</v>
      </c>
      <c r="G20" s="17">
        <v>1.2168194568160069</v>
      </c>
      <c r="H20" s="17">
        <v>1.1736306340101292</v>
      </c>
      <c r="I20" s="17">
        <v>7.7003977334383675</v>
      </c>
      <c r="J20" s="17">
        <v>117.50774436055892</v>
      </c>
      <c r="K20" s="17">
        <v>315.23250397653982</v>
      </c>
      <c r="L20" s="17">
        <v>137.75725064697997</v>
      </c>
      <c r="M20" s="17">
        <v>1.9340930512475702</v>
      </c>
      <c r="N20" s="17">
        <v>1.2330934904721254</v>
      </c>
      <c r="O20" s="17">
        <v>12.941619902553503</v>
      </c>
      <c r="P20" s="17">
        <v>6.8292880756010712</v>
      </c>
      <c r="Q20" s="17">
        <v>9.9011228412205468E-4</v>
      </c>
      <c r="R20" s="17">
        <v>1.1620598783187359</v>
      </c>
      <c r="S20" s="17">
        <v>-0.64423924252588405</v>
      </c>
      <c r="T20" s="17">
        <v>788.08125994134957</v>
      </c>
      <c r="U20" s="17">
        <v>3.8996313447041677</v>
      </c>
      <c r="V20" s="17">
        <v>618.52827300167678</v>
      </c>
    </row>
    <row r="21" spans="2:22" x14ac:dyDescent="0.3">
      <c r="B21" s="17">
        <v>3.5</v>
      </c>
      <c r="C21" s="17">
        <v>4.5064720702113261</v>
      </c>
      <c r="D21" s="17">
        <v>1.2378443466263889</v>
      </c>
      <c r="E21" s="17">
        <v>1.5424567100955173</v>
      </c>
      <c r="F21" s="17">
        <v>3.9216241291317857</v>
      </c>
      <c r="G21" s="17">
        <v>1.2477923804527091</v>
      </c>
      <c r="H21" s="17">
        <v>0.44774442370759787</v>
      </c>
      <c r="I21" s="17">
        <v>7.4057577728634207</v>
      </c>
      <c r="J21" s="17">
        <v>120.74612116199641</v>
      </c>
      <c r="K21" s="17">
        <v>323.91994524683048</v>
      </c>
      <c r="L21" s="17">
        <v>141.78080722790236</v>
      </c>
      <c r="M21" s="17">
        <v>1.8489805188311883</v>
      </c>
      <c r="N21" s="17">
        <v>1.1829992586391733</v>
      </c>
      <c r="O21" s="17">
        <v>13.751892148659186</v>
      </c>
      <c r="P21" s="17">
        <v>7.5454352560223921</v>
      </c>
      <c r="Q21" s="17">
        <v>1.0156068599449534E-3</v>
      </c>
      <c r="R21" s="17">
        <v>1.240742535294457</v>
      </c>
      <c r="S21" s="17">
        <v>-0.74548183748495012</v>
      </c>
      <c r="T21" s="17">
        <v>809.79986311707626</v>
      </c>
      <c r="U21" s="17">
        <v>4.0786349558568915</v>
      </c>
      <c r="V21" s="17">
        <v>635.6607839124963</v>
      </c>
    </row>
    <row r="28" spans="2:22" x14ac:dyDescent="0.3">
      <c r="B28" s="18" t="s">
        <v>243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2" x14ac:dyDescent="0.3">
      <c r="B29" s="17">
        <v>2.5</v>
      </c>
      <c r="C29" s="17">
        <v>0.78819623095794678</v>
      </c>
      <c r="D29" s="17">
        <v>3.7218186040815806</v>
      </c>
      <c r="E29" s="17">
        <v>0.26868585129413269</v>
      </c>
      <c r="F29" s="17">
        <v>1.0973501548280534E-2</v>
      </c>
      <c r="G29" s="17">
        <v>0.64724960986125613</v>
      </c>
      <c r="H29" s="17">
        <v>21.18037690420531</v>
      </c>
    </row>
    <row r="30" spans="2:22" x14ac:dyDescent="0.3">
      <c r="B30" s="17">
        <v>2.7</v>
      </c>
      <c r="C30" s="17">
        <v>0.7863306937683785</v>
      </c>
      <c r="D30" s="17">
        <v>3.6806191808712576</v>
      </c>
      <c r="E30" s="17">
        <v>0.27169341647654105</v>
      </c>
      <c r="F30" s="17">
        <v>1.0955380818656758E-2</v>
      </c>
      <c r="G30" s="17">
        <v>0.64625641267057687</v>
      </c>
      <c r="H30" s="17">
        <v>21.366930623162162</v>
      </c>
    </row>
    <row r="31" spans="2:22" x14ac:dyDescent="0.3">
      <c r="B31" s="17">
        <v>2.9</v>
      </c>
      <c r="C31" s="17">
        <v>0.78545713890905311</v>
      </c>
      <c r="D31" s="17">
        <v>3.6615689659366422</v>
      </c>
      <c r="E31" s="17">
        <v>0.27310696843428062</v>
      </c>
      <c r="H31" s="17">
        <v>21.454286109094689</v>
      </c>
    </row>
    <row r="32" spans="2:22" x14ac:dyDescent="0.3">
      <c r="B32" s="17">
        <v>3.1</v>
      </c>
      <c r="C32" s="17">
        <v>0.78498342894401973</v>
      </c>
      <c r="D32" s="17">
        <v>3.6513110265144189</v>
      </c>
      <c r="E32" s="17">
        <v>0.27387423112914344</v>
      </c>
      <c r="H32" s="17">
        <v>21.501657105598028</v>
      </c>
    </row>
    <row r="33" spans="2:8" x14ac:dyDescent="0.3">
      <c r="B33" s="17">
        <v>3.3</v>
      </c>
      <c r="C33" s="17">
        <v>0.78485342114049095</v>
      </c>
      <c r="D33" s="17">
        <v>3.6485095090614248</v>
      </c>
      <c r="E33" s="17">
        <v>0.27408452616511036</v>
      </c>
      <c r="H33" s="17">
        <v>21.514657885950903</v>
      </c>
    </row>
    <row r="34" spans="2:8" x14ac:dyDescent="0.3">
      <c r="B34" s="17">
        <v>3.5</v>
      </c>
      <c r="C34" s="17">
        <v>0.78496034991376151</v>
      </c>
      <c r="D34" s="17">
        <v>3.6508283721097383</v>
      </c>
      <c r="E34" s="17">
        <v>0.27391043841979368</v>
      </c>
      <c r="H34" s="17">
        <v>21.503965008623858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F8E15-0944-4FE7-87E9-AAA093D2FC4F}">
  <dimension ref="B2:V35"/>
  <sheetViews>
    <sheetView workbookViewId="0">
      <selection activeCell="B29" sqref="B29:H35"/>
    </sheetView>
  </sheetViews>
  <sheetFormatPr baseColWidth="10" defaultRowHeight="14.4" x14ac:dyDescent="0.3"/>
  <cols>
    <col min="1" max="16384" width="11.5546875" style="17"/>
  </cols>
  <sheetData>
    <row r="2" spans="2:22" x14ac:dyDescent="0.3">
      <c r="B2" s="18" t="s">
        <v>77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</row>
    <row r="3" spans="2:22" x14ac:dyDescent="0.3">
      <c r="B3" s="17">
        <v>0.6</v>
      </c>
      <c r="C3" s="17">
        <v>8.4211561976013968E-2</v>
      </c>
      <c r="D3" s="17">
        <v>7.8630926606964024E-3</v>
      </c>
      <c r="E3" s="17">
        <v>41.852285461263897</v>
      </c>
      <c r="F3" s="17">
        <v>15.24145462009974</v>
      </c>
      <c r="G3" s="17">
        <v>40.291237071467492</v>
      </c>
      <c r="H3" s="17">
        <v>59.727872168516029</v>
      </c>
      <c r="I3" s="17">
        <v>58.546594548248024</v>
      </c>
      <c r="J3" s="17">
        <v>54.171985391620581</v>
      </c>
      <c r="K3" s="17">
        <v>0.14154461481035646</v>
      </c>
      <c r="L3" s="17">
        <v>1.2649393159814668</v>
      </c>
    </row>
    <row r="4" spans="2:22" x14ac:dyDescent="0.3">
      <c r="B4" s="17">
        <v>0.65</v>
      </c>
      <c r="C4" s="17">
        <v>9.5281754998553791E-2</v>
      </c>
      <c r="D4" s="17">
        <v>7.8332887957953384E-3</v>
      </c>
      <c r="E4" s="17">
        <v>44.933380647869939</v>
      </c>
      <c r="F4" s="17">
        <v>16.442344008453379</v>
      </c>
      <c r="G4" s="17">
        <v>43.458044213676864</v>
      </c>
      <c r="H4" s="17">
        <v>59.735966243145022</v>
      </c>
      <c r="I4" s="17">
        <v>58.554485160804404</v>
      </c>
      <c r="J4" s="17">
        <v>54.163497220831061</v>
      </c>
      <c r="K4" s="17">
        <v>0.14102710050591502</v>
      </c>
      <c r="L4" s="17">
        <v>1.2603144548297525</v>
      </c>
    </row>
    <row r="5" spans="2:22" x14ac:dyDescent="0.3">
      <c r="B5" s="17">
        <v>0.7</v>
      </c>
      <c r="C5" s="17">
        <v>0.10635197332921997</v>
      </c>
      <c r="D5" s="17">
        <v>7.8034867682354944E-3</v>
      </c>
      <c r="E5" s="17">
        <v>47.714779598232759</v>
      </c>
      <c r="F5" s="17">
        <v>17.526423384732322</v>
      </c>
      <c r="G5" s="17">
        <v>46.316817277727253</v>
      </c>
      <c r="H5" s="17">
        <v>59.744082530708894</v>
      </c>
      <c r="I5" s="17">
        <v>58.562396729475942</v>
      </c>
      <c r="J5" s="17">
        <v>54.154919475518398</v>
      </c>
      <c r="K5" s="17">
        <v>0.1405095248648236</v>
      </c>
      <c r="L5" s="17">
        <v>1.2556890455318568</v>
      </c>
    </row>
    <row r="6" spans="2:22" x14ac:dyDescent="0.3">
      <c r="B6" s="17">
        <v>0.75</v>
      </c>
      <c r="C6" s="17">
        <v>0.11742221717459934</v>
      </c>
      <c r="D6" s="17">
        <v>7.7736866894088322E-3</v>
      </c>
      <c r="E6" s="17">
        <v>50.238175942453665</v>
      </c>
      <c r="F6" s="17">
        <v>18.509943306381878</v>
      </c>
      <c r="G6" s="17">
        <v>48.91040982949049</v>
      </c>
      <c r="H6" s="17">
        <v>59.75222116501245</v>
      </c>
      <c r="I6" s="17">
        <v>58.570329377579746</v>
      </c>
      <c r="J6" s="17">
        <v>54.146251392484373</v>
      </c>
      <c r="K6" s="17">
        <v>0.13999188962571618</v>
      </c>
      <c r="L6" s="17">
        <v>1.2510631036254005</v>
      </c>
    </row>
    <row r="7" spans="2:22" x14ac:dyDescent="0.3">
      <c r="B7" s="17">
        <v>0.8</v>
      </c>
      <c r="C7" s="17">
        <v>0.1284924867425066</v>
      </c>
      <c r="D7" s="17">
        <v>7.743888671611427E-3</v>
      </c>
      <c r="E7" s="17">
        <v>52.537872183380308</v>
      </c>
      <c r="F7" s="17">
        <v>19.40627355648672</v>
      </c>
      <c r="G7" s="17">
        <v>51.27407868290198</v>
      </c>
      <c r="H7" s="17">
        <v>59.760382281137382</v>
      </c>
      <c r="I7" s="17">
        <v>58.57828322960458</v>
      </c>
      <c r="J7" s="17">
        <v>54.137492201448424</v>
      </c>
      <c r="K7" s="17">
        <v>0.13947419654295456</v>
      </c>
      <c r="L7" s="17">
        <v>1.2464366447885584</v>
      </c>
    </row>
    <row r="8" spans="2:22" x14ac:dyDescent="0.3">
      <c r="B8" s="17">
        <v>0.85</v>
      </c>
      <c r="C8" s="17">
        <v>0.13956278198500702</v>
      </c>
      <c r="D8" s="17">
        <v>7.7140927853093831E-3</v>
      </c>
      <c r="E8" s="17">
        <v>54.642345188567177</v>
      </c>
      <c r="F8" s="17">
        <v>20.226513368609627</v>
      </c>
      <c r="G8" s="17">
        <v>53.437093089396768</v>
      </c>
      <c r="H8" s="17">
        <v>59.768566025359505</v>
      </c>
      <c r="I8" s="17">
        <v>58.586258420224183</v>
      </c>
      <c r="J8" s="17">
        <v>54.128641048997849</v>
      </c>
      <c r="K8" s="17">
        <v>0.13895644663801524</v>
      </c>
      <c r="L8" s="17">
        <v>1.2418096781499413</v>
      </c>
    </row>
    <row r="9" spans="2:22" x14ac:dyDescent="0.3">
      <c r="B9" s="17">
        <v>0.9</v>
      </c>
      <c r="C9" s="17">
        <v>0.15063310366538565</v>
      </c>
      <c r="D9" s="17">
        <v>7.684299236637172E-3</v>
      </c>
      <c r="E9" s="17">
        <v>56.575443092400867</v>
      </c>
      <c r="F9" s="17">
        <v>20.979957694675662</v>
      </c>
      <c r="G9" s="17">
        <v>55.423964332470618</v>
      </c>
      <c r="H9" s="17">
        <v>59.77677251407335</v>
      </c>
      <c r="I9" s="17">
        <v>58.594255056971043</v>
      </c>
      <c r="J9" s="17">
        <v>54.119697313632969</v>
      </c>
      <c r="K9" s="17">
        <v>0.13843864330880659</v>
      </c>
      <c r="L9" s="17">
        <v>1.2371822340755787</v>
      </c>
    </row>
    <row r="15" spans="2:22" x14ac:dyDescent="0.3">
      <c r="B15" s="18" t="s">
        <v>77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22" x14ac:dyDescent="0.3">
      <c r="B16" s="17">
        <v>0.6</v>
      </c>
      <c r="C16" s="17">
        <v>3.1885506685029612</v>
      </c>
      <c r="D16" s="17">
        <v>1.0438763107473461</v>
      </c>
      <c r="E16" s="17">
        <v>8.6102319558728482</v>
      </c>
      <c r="F16" s="17">
        <v>15.551202889850712</v>
      </c>
      <c r="G16" s="17">
        <v>1.1115831277611814</v>
      </c>
      <c r="H16" s="17">
        <v>4.8281167891059305</v>
      </c>
      <c r="I16" s="17">
        <v>9.3526697515099073</v>
      </c>
      <c r="J16" s="17">
        <v>79.195967005262375</v>
      </c>
      <c r="K16" s="17">
        <v>212.45529917849188</v>
      </c>
      <c r="L16" s="17">
        <v>91.682455189337773</v>
      </c>
      <c r="M16" s="17">
        <v>2.2662069549226316</v>
      </c>
      <c r="N16" s="17">
        <v>1.4262431534888216</v>
      </c>
      <c r="O16" s="17">
        <v>10.362045100531315</v>
      </c>
      <c r="P16" s="17">
        <v>4.8851662034555785</v>
      </c>
      <c r="Q16" s="17">
        <v>9.0361665491794604E-4</v>
      </c>
      <c r="R16" s="17">
        <v>0.92839153384896267</v>
      </c>
      <c r="S16" s="17">
        <v>3.5804149179434662E-2</v>
      </c>
      <c r="T16" s="17">
        <v>531.13824794622963</v>
      </c>
      <c r="U16" s="17">
        <v>3.2391739055063429</v>
      </c>
      <c r="V16" s="17">
        <v>450.16388748403097</v>
      </c>
    </row>
    <row r="17" spans="2:22" x14ac:dyDescent="0.3">
      <c r="B17" s="17">
        <v>0.65</v>
      </c>
      <c r="C17" s="17">
        <v>3.1856026611351265</v>
      </c>
      <c r="D17" s="17">
        <v>1.0478213709567898</v>
      </c>
      <c r="E17" s="17">
        <v>7.5444300571883796</v>
      </c>
      <c r="F17" s="17">
        <v>13.641822894306621</v>
      </c>
      <c r="G17" s="17">
        <v>1.1082559641090983</v>
      </c>
      <c r="H17" s="17">
        <v>4.7738608169536452</v>
      </c>
      <c r="I17" s="17">
        <v>9.2547297393386696</v>
      </c>
      <c r="J17" s="17">
        <v>83.462458846272</v>
      </c>
      <c r="K17" s="17">
        <v>223.90081635317406</v>
      </c>
      <c r="L17" s="17">
        <v>96.731337537772518</v>
      </c>
      <c r="M17" s="17">
        <v>2.267758230379429</v>
      </c>
      <c r="N17" s="17">
        <v>1.4290732685411747</v>
      </c>
      <c r="O17" s="17">
        <v>10.306141862922569</v>
      </c>
      <c r="P17" s="17">
        <v>4.8554018582622822</v>
      </c>
      <c r="Q17" s="17">
        <v>9.009007712257064E-4</v>
      </c>
      <c r="R17" s="17">
        <v>0.92399223502528893</v>
      </c>
      <c r="S17" s="17">
        <v>3.3917216413731265E-2</v>
      </c>
      <c r="T17" s="17">
        <v>559.75204088293515</v>
      </c>
      <c r="U17" s="17">
        <v>3.2262748683101767</v>
      </c>
      <c r="V17" s="17">
        <v>467.69459668183288</v>
      </c>
    </row>
    <row r="18" spans="2:22" x14ac:dyDescent="0.3">
      <c r="B18" s="17">
        <v>0.7</v>
      </c>
      <c r="C18" s="17">
        <v>3.1826444550567756</v>
      </c>
      <c r="D18" s="17">
        <v>1.0517772748712815</v>
      </c>
      <c r="E18" s="17">
        <v>6.4756703599588947</v>
      </c>
      <c r="F18" s="17">
        <v>11.722797219174215</v>
      </c>
      <c r="G18" s="17">
        <v>1.1049234750247561</v>
      </c>
      <c r="H18" s="17">
        <v>4.71920413147111</v>
      </c>
      <c r="I18" s="17">
        <v>9.1570271064838735</v>
      </c>
      <c r="J18" s="17">
        <v>87.728994646362665</v>
      </c>
      <c r="K18" s="17">
        <v>235.34645145481733</v>
      </c>
      <c r="L18" s="17">
        <v>101.79288253725483</v>
      </c>
      <c r="M18" s="17">
        <v>2.2693067979055233</v>
      </c>
      <c r="N18" s="17">
        <v>1.4319114292205222</v>
      </c>
      <c r="O18" s="17">
        <v>10.250323800790419</v>
      </c>
      <c r="P18" s="17">
        <v>4.8257715495631963</v>
      </c>
      <c r="Q18" s="17">
        <v>8.9818063269454654E-4</v>
      </c>
      <c r="R18" s="17">
        <v>0.91960136568056761</v>
      </c>
      <c r="S18" s="17">
        <v>3.2013777684334971E-2</v>
      </c>
      <c r="T18" s="17">
        <v>588.36612863704318</v>
      </c>
      <c r="U18" s="17">
        <v>3.2133796689570824</v>
      </c>
      <c r="V18" s="17">
        <v>485.22557923090994</v>
      </c>
    </row>
    <row r="19" spans="2:22" x14ac:dyDescent="0.3">
      <c r="B19" s="17">
        <v>0.75</v>
      </c>
      <c r="C19" s="17">
        <v>3.1796759917278905</v>
      </c>
      <c r="D19" s="17">
        <v>1.0557440776822804</v>
      </c>
      <c r="E19" s="17">
        <v>5.4039352110712793</v>
      </c>
      <c r="F19" s="17">
        <v>9.7940194828991078</v>
      </c>
      <c r="G19" s="17">
        <v>1.1015856640998944</v>
      </c>
      <c r="H19" s="17">
        <v>4.6641478209078198</v>
      </c>
      <c r="I19" s="17">
        <v>9.0595629791778052</v>
      </c>
      <c r="J19" s="17">
        <v>91.995574525781194</v>
      </c>
      <c r="K19" s="17">
        <v>246.79220480600199</v>
      </c>
      <c r="L19" s="17">
        <v>106.86721213527193</v>
      </c>
      <c r="M19" s="17">
        <v>2.2708525914225359</v>
      </c>
      <c r="N19" s="17">
        <v>1.4347576515796336</v>
      </c>
      <c r="O19" s="17">
        <v>10.194591485539634</v>
      </c>
      <c r="P19" s="17">
        <v>4.7962748915086886</v>
      </c>
      <c r="Q19" s="17">
        <v>8.9545624248824843E-4</v>
      </c>
      <c r="R19" s="17">
        <v>0.91521892164972585</v>
      </c>
      <c r="S19" s="17">
        <v>3.0093731055990471E-2</v>
      </c>
      <c r="T19" s="17">
        <v>616.98051201500505</v>
      </c>
      <c r="U19" s="17">
        <v>3.2004883620793869</v>
      </c>
      <c r="V19" s="17">
        <v>502.75683578569931</v>
      </c>
    </row>
    <row r="20" spans="2:22" x14ac:dyDescent="0.3">
      <c r="B20" s="17">
        <v>0.8</v>
      </c>
      <c r="C20" s="17">
        <v>3.1766972121346844</v>
      </c>
      <c r="D20" s="17">
        <v>1.0597218350240001</v>
      </c>
      <c r="E20" s="17">
        <v>4.3292067936635572</v>
      </c>
      <c r="F20" s="17">
        <v>7.8553814543741751</v>
      </c>
      <c r="G20" s="17">
        <v>1.0982430498994591</v>
      </c>
      <c r="H20" s="17">
        <v>4.6086931025683295</v>
      </c>
      <c r="I20" s="17">
        <v>8.9623384882152894</v>
      </c>
      <c r="J20" s="17">
        <v>96.262198605157224</v>
      </c>
      <c r="K20" s="17">
        <v>258.23807673033571</v>
      </c>
      <c r="L20" s="17">
        <v>111.95445016030466</v>
      </c>
      <c r="M20" s="17">
        <v>2.2723955440679502</v>
      </c>
      <c r="N20" s="17">
        <v>1.4376119516228376</v>
      </c>
      <c r="O20" s="17">
        <v>10.138945489990787</v>
      </c>
      <c r="P20" s="17">
        <v>4.7669109809012475</v>
      </c>
      <c r="Q20" s="17">
        <v>8.9272760389944321E-4</v>
      </c>
      <c r="R20" s="17">
        <v>0.91084489976972427</v>
      </c>
      <c r="S20" s="17">
        <v>2.815697403019336E-2</v>
      </c>
      <c r="T20" s="17">
        <v>645.59519182583927</v>
      </c>
      <c r="U20" s="17">
        <v>3.1876010027004567</v>
      </c>
      <c r="V20" s="17">
        <v>520.28836700236388</v>
      </c>
    </row>
    <row r="21" spans="2:22" x14ac:dyDescent="0.3">
      <c r="B21" s="17">
        <v>0.85</v>
      </c>
      <c r="C21" s="17">
        <v>3.1737080391990968</v>
      </c>
      <c r="D21" s="17">
        <v>1.0637106287563038</v>
      </c>
      <c r="E21" s="17">
        <v>3.2514671250847167</v>
      </c>
      <c r="F21" s="17">
        <v>5.9067693275598581</v>
      </c>
      <c r="G21" s="17">
        <v>1.0948945809626529</v>
      </c>
      <c r="H21" s="17">
        <v>4.5528544882684363</v>
      </c>
      <c r="I21" s="17">
        <v>8.8653546420253981</v>
      </c>
      <c r="J21" s="17">
        <v>100.52887198471164</v>
      </c>
      <c r="K21" s="17">
        <v>269.68408090994143</v>
      </c>
      <c r="L21" s="17">
        <v>117.05472843049664</v>
      </c>
      <c r="M21" s="17">
        <v>2.2739355842054483</v>
      </c>
      <c r="N21" s="17">
        <v>1.4404743453062181</v>
      </c>
      <c r="O21" s="17">
        <v>10.083386332505116</v>
      </c>
      <c r="P21" s="17">
        <v>4.7376804527316398</v>
      </c>
      <c r="Q21" s="17">
        <v>8.8999471541966455E-4</v>
      </c>
      <c r="R21" s="17">
        <v>0.90647929000459382</v>
      </c>
      <c r="S21" s="17">
        <v>2.620338680930415E-2</v>
      </c>
      <c r="T21" s="17">
        <v>674.21020227485337</v>
      </c>
      <c r="U21" s="17">
        <v>3.1747176279460891</v>
      </c>
      <c r="V21" s="17">
        <v>537.82020717123009</v>
      </c>
    </row>
    <row r="22" spans="2:22" x14ac:dyDescent="0.3">
      <c r="B22" s="17">
        <v>0.9</v>
      </c>
      <c r="C22" s="17">
        <v>3.1707084507537511</v>
      </c>
      <c r="D22" s="17">
        <v>1.0677104599818412</v>
      </c>
      <c r="E22" s="17">
        <v>2.1706980548234425</v>
      </c>
      <c r="F22" s="17">
        <v>3.9480789449175355</v>
      </c>
      <c r="G22" s="17">
        <v>1.091540809577048</v>
      </c>
      <c r="H22" s="17">
        <v>4.4966051596002652</v>
      </c>
      <c r="I22" s="17">
        <v>8.768612854060164</v>
      </c>
      <c r="J22" s="17">
        <v>104.79558407176074</v>
      </c>
      <c r="K22" s="17">
        <v>281.130188928324</v>
      </c>
      <c r="L22" s="17">
        <v>122.16816161023768</v>
      </c>
      <c r="M22" s="17">
        <v>2.2754726519311625</v>
      </c>
      <c r="N22" s="17">
        <v>1.4433448485363372</v>
      </c>
      <c r="O22" s="17">
        <v>10.027914709061532</v>
      </c>
      <c r="P22" s="17">
        <v>4.708582436740417</v>
      </c>
      <c r="Q22" s="17">
        <v>8.8725759121543654E-4</v>
      </c>
      <c r="R22" s="17">
        <v>0.902122100229935</v>
      </c>
      <c r="S22" s="17">
        <v>2.4232901724251073E-2</v>
      </c>
      <c r="T22" s="17">
        <v>702.82547232081004</v>
      </c>
      <c r="U22" s="17">
        <v>3.1618383330094</v>
      </c>
      <c r="V22" s="17">
        <v>555.35228458286076</v>
      </c>
    </row>
    <row r="28" spans="2:22" x14ac:dyDescent="0.3">
      <c r="B28" s="18" t="s">
        <v>77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2" x14ac:dyDescent="0.3">
      <c r="B29" s="17">
        <v>0.6</v>
      </c>
      <c r="C29" s="17">
        <v>0.84754560460425321</v>
      </c>
      <c r="D29" s="17">
        <v>5.5607921010803549</v>
      </c>
      <c r="E29" s="17">
        <v>0.17983049569605727</v>
      </c>
      <c r="F29" s="17">
        <v>1.0931033749141028E-2</v>
      </c>
      <c r="G29" s="17">
        <v>0.64492194979041984</v>
      </c>
      <c r="H29" s="17">
        <v>15.245439539574679</v>
      </c>
    </row>
    <row r="30" spans="2:22" x14ac:dyDescent="0.3">
      <c r="B30" s="17">
        <v>0.65</v>
      </c>
      <c r="C30" s="17">
        <v>0.83553888601121706</v>
      </c>
      <c r="D30" s="17">
        <v>5.0816287846893831</v>
      </c>
      <c r="E30" s="17">
        <v>0.19678729839789458</v>
      </c>
      <c r="F30" s="17">
        <v>1.0935217351420626E-2</v>
      </c>
      <c r="G30" s="17">
        <v>0.64515125303136456</v>
      </c>
      <c r="H30" s="17">
        <v>16.446111398878294</v>
      </c>
    </row>
    <row r="31" spans="2:22" x14ac:dyDescent="0.3">
      <c r="B31" s="17">
        <v>0.7</v>
      </c>
      <c r="C31" s="17">
        <v>0.82470005599224505</v>
      </c>
      <c r="D31" s="17">
        <v>4.7054669277855092</v>
      </c>
      <c r="E31" s="17">
        <v>0.21251876069833964</v>
      </c>
      <c r="F31" s="17">
        <v>1.0938986786365809E-2</v>
      </c>
      <c r="G31" s="17">
        <v>0.64535785576071003</v>
      </c>
      <c r="H31" s="17">
        <v>17.529994400775493</v>
      </c>
    </row>
    <row r="32" spans="2:22" x14ac:dyDescent="0.3">
      <c r="B32" s="17">
        <v>0.75</v>
      </c>
      <c r="C32" s="17">
        <v>0.81486663840279006</v>
      </c>
      <c r="D32" s="17">
        <v>4.4023183913363981</v>
      </c>
      <c r="E32" s="17">
        <v>0.22715303871886311</v>
      </c>
      <c r="F32" s="17">
        <v>1.0942396324374062E-2</v>
      </c>
      <c r="G32" s="17">
        <v>0.6455447325389424</v>
      </c>
      <c r="H32" s="17">
        <v>18.513336159721007</v>
      </c>
    </row>
    <row r="33" spans="2:8" x14ac:dyDescent="0.3">
      <c r="B33" s="17">
        <v>0.8</v>
      </c>
      <c r="C33" s="17">
        <v>0.80590495962479369</v>
      </c>
      <c r="D33" s="17">
        <v>4.1528063452213511</v>
      </c>
      <c r="E33" s="17">
        <v>0.24080101908693707</v>
      </c>
      <c r="F33" s="17">
        <v>1.0945495411489195E-2</v>
      </c>
      <c r="G33" s="17">
        <v>0.64571459350372284</v>
      </c>
      <c r="H33" s="17">
        <v>19.409504037520641</v>
      </c>
    </row>
    <row r="34" spans="2:8" x14ac:dyDescent="0.3">
      <c r="B34" s="17">
        <v>0.85</v>
      </c>
      <c r="C34" s="17">
        <v>0.79770404742700474</v>
      </c>
      <c r="D34" s="17">
        <v>3.9438534605029605</v>
      </c>
      <c r="E34" s="17">
        <v>0.25355911674072945</v>
      </c>
      <c r="F34" s="17">
        <v>1.0948324843076037E-2</v>
      </c>
      <c r="G34" s="17">
        <v>0.64586967464899758</v>
      </c>
      <c r="H34" s="17">
        <v>20.229595257299525</v>
      </c>
    </row>
    <row r="35" spans="2:8" x14ac:dyDescent="0.3">
      <c r="B35" s="17">
        <v>0.9</v>
      </c>
      <c r="C35" s="17">
        <v>0.7901709691155957</v>
      </c>
      <c r="D35" s="17">
        <v>3.7663134531302083</v>
      </c>
      <c r="E35" s="17">
        <v>0.26551162361934938</v>
      </c>
      <c r="F35" s="17">
        <v>1.095091857991398E-2</v>
      </c>
      <c r="G35" s="17">
        <v>0.64601183736508527</v>
      </c>
      <c r="H35" s="17">
        <v>20.98290308844043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148A7-EAA7-4F28-BBF6-02D6EA60B99E}">
  <dimension ref="B2:V35"/>
  <sheetViews>
    <sheetView workbookViewId="0">
      <selection activeCell="B29" sqref="B29:H35"/>
    </sheetView>
  </sheetViews>
  <sheetFormatPr baseColWidth="10" defaultRowHeight="14.4" x14ac:dyDescent="0.3"/>
  <cols>
    <col min="1" max="16384" width="11.5546875" style="17"/>
  </cols>
  <sheetData>
    <row r="2" spans="2:22" x14ac:dyDescent="0.3">
      <c r="B2" s="18" t="s">
        <v>244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</row>
    <row r="3" spans="2:22" x14ac:dyDescent="0.3">
      <c r="B3" s="17">
        <v>0.6</v>
      </c>
      <c r="C3" s="17">
        <v>0.13086918068201137</v>
      </c>
      <c r="D3" s="17">
        <v>8.8141654444115064E-3</v>
      </c>
      <c r="E3" s="17">
        <v>49.878796554537026</v>
      </c>
      <c r="F3" s="17">
        <v>18.37326690227815</v>
      </c>
      <c r="G3" s="17">
        <v>48.550442064273085</v>
      </c>
      <c r="H3" s="17">
        <v>59.943515535314361</v>
      </c>
      <c r="I3" s="17">
        <v>58.920654666082875</v>
      </c>
      <c r="J3" s="17">
        <v>70.612173722288844</v>
      </c>
      <c r="K3" s="17">
        <v>0.1597339979473</v>
      </c>
      <c r="L3" s="17">
        <v>1.4274920622953922</v>
      </c>
    </row>
    <row r="4" spans="2:22" x14ac:dyDescent="0.3">
      <c r="B4" s="17">
        <v>0.65</v>
      </c>
      <c r="C4" s="17">
        <v>0.13701888853317393</v>
      </c>
      <c r="D4" s="17">
        <v>8.5397213545798153E-3</v>
      </c>
      <c r="E4" s="17">
        <v>51.771991448655704</v>
      </c>
      <c r="F4" s="17">
        <v>19.112085785005224</v>
      </c>
      <c r="G4" s="17">
        <v>50.498776994288662</v>
      </c>
      <c r="H4" s="17">
        <v>60.021929404349727</v>
      </c>
      <c r="I4" s="17">
        <v>59.000938788462065</v>
      </c>
      <c r="J4" s="17">
        <v>70.881080313060295</v>
      </c>
      <c r="K4" s="17">
        <v>0.15497245314779157</v>
      </c>
      <c r="L4" s="17">
        <v>1.3849396470744026</v>
      </c>
    </row>
    <row r="5" spans="2:22" x14ac:dyDescent="0.3">
      <c r="B5" s="17">
        <v>0.7</v>
      </c>
      <c r="C5" s="17">
        <v>0.14230508065956135</v>
      </c>
      <c r="D5" s="17">
        <v>8.3060695450992046E-3</v>
      </c>
      <c r="E5" s="17">
        <v>53.3638629940382</v>
      </c>
      <c r="F5" s="17">
        <v>19.733339335790927</v>
      </c>
      <c r="G5" s="17">
        <v>52.137073147294522</v>
      </c>
      <c r="H5" s="17">
        <v>60.090302237082973</v>
      </c>
      <c r="I5" s="17">
        <v>59.070937879496412</v>
      </c>
      <c r="J5" s="17">
        <v>71.113947469750883</v>
      </c>
      <c r="K5" s="17">
        <v>0.15091214122040969</v>
      </c>
      <c r="L5" s="17">
        <v>1.3486539275578022</v>
      </c>
    </row>
    <row r="6" spans="2:22" x14ac:dyDescent="0.3">
      <c r="B6" s="17">
        <v>0.75</v>
      </c>
      <c r="C6" s="17">
        <v>0.14689827318466656</v>
      </c>
      <c r="D6" s="17">
        <v>8.1049138972325522E-3</v>
      </c>
      <c r="E6" s="17">
        <v>54.719894700628537</v>
      </c>
      <c r="F6" s="17">
        <v>20.262571228369076</v>
      </c>
      <c r="G6" s="17">
        <v>53.532694818694651</v>
      </c>
      <c r="H6" s="17">
        <v>60.150427663242837</v>
      </c>
      <c r="I6" s="17">
        <v>59.132490246883762</v>
      </c>
      <c r="J6" s="17">
        <v>71.317527543858375</v>
      </c>
      <c r="K6" s="17">
        <v>0.1474116636772683</v>
      </c>
      <c r="L6" s="17">
        <v>1.3173712703195719</v>
      </c>
    </row>
    <row r="7" spans="2:22" x14ac:dyDescent="0.3">
      <c r="B7" s="17">
        <v>0.8</v>
      </c>
      <c r="C7" s="17">
        <v>0.15092661980778518</v>
      </c>
      <c r="D7" s="17">
        <v>7.9300370676916587E-3</v>
      </c>
      <c r="E7" s="17">
        <v>55.888023789679387</v>
      </c>
      <c r="F7" s="17">
        <v>20.718482595841238</v>
      </c>
      <c r="G7" s="17">
        <v>54.734960628953523</v>
      </c>
      <c r="H7" s="17">
        <v>60.203698420323029</v>
      </c>
      <c r="I7" s="17">
        <v>59.187023139449423</v>
      </c>
      <c r="J7" s="17">
        <v>71.497000293469625</v>
      </c>
      <c r="K7" s="17">
        <v>0.14436476998212663</v>
      </c>
      <c r="L7" s="17">
        <v>1.290142148026473</v>
      </c>
    </row>
    <row r="8" spans="2:22" x14ac:dyDescent="0.3">
      <c r="B8" s="17">
        <v>0.85</v>
      </c>
      <c r="C8" s="17">
        <v>0.15448837379671118</v>
      </c>
      <c r="D8" s="17">
        <v>7.7766933290369447E-3</v>
      </c>
      <c r="E8" s="17">
        <v>56.904129154565311</v>
      </c>
      <c r="F8" s="17">
        <v>21.115071451650476</v>
      </c>
      <c r="G8" s="17">
        <v>55.780785889614293</v>
      </c>
      <c r="H8" s="17">
        <v>60.251212163917998</v>
      </c>
      <c r="I8" s="17">
        <v>59.235661246611436</v>
      </c>
      <c r="J8" s="17">
        <v>71.656400152541778</v>
      </c>
      <c r="K8" s="17">
        <v>0.14169016867382303</v>
      </c>
      <c r="L8" s="17">
        <v>1.2662400846807105</v>
      </c>
    </row>
    <row r="9" spans="2:22" x14ac:dyDescent="0.3">
      <c r="B9" s="17">
        <v>0.9</v>
      </c>
      <c r="C9" s="17">
        <v>0.15766017207045593</v>
      </c>
      <c r="D9" s="17">
        <v>7.6412011923432457E-3</v>
      </c>
      <c r="E9" s="17">
        <v>57.795583221044957</v>
      </c>
      <c r="F9" s="17">
        <v>21.46301763766137</v>
      </c>
      <c r="G9" s="17">
        <v>56.698335130922949</v>
      </c>
      <c r="H9" s="17">
        <v>60.293845462383622</v>
      </c>
      <c r="I9" s="17">
        <v>59.279302589852165</v>
      </c>
      <c r="J9" s="17">
        <v>71.798913319337885</v>
      </c>
      <c r="K9" s="17">
        <v>0.13932466740652216</v>
      </c>
      <c r="L9" s="17">
        <v>1.2451003503360174</v>
      </c>
    </row>
    <row r="15" spans="2:22" x14ac:dyDescent="0.3">
      <c r="B15" s="18" t="s">
        <v>244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22" x14ac:dyDescent="0.3">
      <c r="B16" s="17">
        <v>0.6</v>
      </c>
      <c r="C16" s="17">
        <v>17.223530390651401</v>
      </c>
      <c r="D16" s="17">
        <v>5.1037799140514002</v>
      </c>
      <c r="E16" s="17">
        <v>1.5424567100955173</v>
      </c>
      <c r="F16" s="17">
        <v>2.8073738467151998</v>
      </c>
      <c r="G16" s="17">
        <v>1.2108751990759339</v>
      </c>
      <c r="H16" s="17">
        <v>1.1047199639898608</v>
      </c>
      <c r="I16" s="17">
        <v>9.283773488135834</v>
      </c>
      <c r="J16" s="17">
        <v>103.26946782608539</v>
      </c>
      <c r="K16" s="17">
        <v>277.03614858994956</v>
      </c>
      <c r="L16" s="17">
        <v>120.25045822234905</v>
      </c>
      <c r="M16" s="17">
        <v>2.9125156004621573E-2</v>
      </c>
      <c r="N16" s="17">
        <v>1.3292337592230991E-2</v>
      </c>
      <c r="O16" s="17">
        <v>12.258929861073378</v>
      </c>
      <c r="P16" s="17">
        <v>5.9683119542030285</v>
      </c>
      <c r="Q16" s="17">
        <v>9.8477814386777594E-4</v>
      </c>
      <c r="R16" s="17">
        <v>1.0776192924360903</v>
      </c>
      <c r="S16" s="17">
        <v>3.5350848909872137</v>
      </c>
      <c r="T16" s="17">
        <v>692.59037147487402</v>
      </c>
      <c r="U16" s="17">
        <v>3.5990801600825222</v>
      </c>
      <c r="V16" s="17">
        <v>565.31501258162234</v>
      </c>
    </row>
    <row r="17" spans="2:22" x14ac:dyDescent="0.3">
      <c r="B17" s="17">
        <v>0.65</v>
      </c>
      <c r="C17" s="17">
        <v>13.889071706783179</v>
      </c>
      <c r="D17" s="17">
        <v>4.246121653805341</v>
      </c>
      <c r="E17" s="17">
        <v>1.5424567100955173</v>
      </c>
      <c r="F17" s="17">
        <v>2.8073738467151998</v>
      </c>
      <c r="G17" s="17">
        <v>1.1826470103258144</v>
      </c>
      <c r="H17" s="17">
        <v>1.7916358617457444</v>
      </c>
      <c r="I17" s="17">
        <v>9.1736007419972747</v>
      </c>
      <c r="J17" s="17">
        <v>104.16842351101462</v>
      </c>
      <c r="K17" s="17">
        <v>279.44773476298229</v>
      </c>
      <c r="L17" s="17">
        <v>121.34712487858563</v>
      </c>
      <c r="M17" s="17">
        <v>2.9507436703505269E-2</v>
      </c>
      <c r="N17" s="17">
        <v>1.3556700606306121E-2</v>
      </c>
      <c r="O17" s="17">
        <v>11.70689884570481</v>
      </c>
      <c r="P17" s="17">
        <v>5.6409449889946401</v>
      </c>
      <c r="Q17" s="17">
        <v>9.6169692888734557E-4</v>
      </c>
      <c r="R17" s="17">
        <v>1.0337214813555018</v>
      </c>
      <c r="S17" s="17">
        <v>3.5735072492326818</v>
      </c>
      <c r="T17" s="17">
        <v>698.61933690745582</v>
      </c>
      <c r="U17" s="17">
        <v>3.4801513263757968</v>
      </c>
      <c r="V17" s="17">
        <v>565.07544040995276</v>
      </c>
    </row>
    <row r="18" spans="2:22" x14ac:dyDescent="0.3">
      <c r="B18" s="17">
        <v>0.7</v>
      </c>
      <c r="C18" s="17">
        <v>11.038113043195452</v>
      </c>
      <c r="D18" s="17">
        <v>3.4658458866495603</v>
      </c>
      <c r="E18" s="17">
        <v>1.5424567100955173</v>
      </c>
      <c r="F18" s="17">
        <v>2.8073738467151998</v>
      </c>
      <c r="G18" s="17">
        <v>1.1582224463140447</v>
      </c>
      <c r="H18" s="17">
        <v>2.4307471421233493</v>
      </c>
      <c r="I18" s="17">
        <v>9.0667993777505469</v>
      </c>
      <c r="J18" s="17">
        <v>104.95996261811557</v>
      </c>
      <c r="K18" s="17">
        <v>281.5711595302995</v>
      </c>
      <c r="L18" s="17">
        <v>122.31369926104054</v>
      </c>
      <c r="M18" s="17">
        <v>2.9839777350717973E-2</v>
      </c>
      <c r="N18" s="17">
        <v>1.3787668106995304E-2</v>
      </c>
      <c r="O18" s="17">
        <v>11.242094633094244</v>
      </c>
      <c r="P18" s="17">
        <v>5.3734938759397997</v>
      </c>
      <c r="Q18" s="17">
        <v>9.4173270359819037E-4</v>
      </c>
      <c r="R18" s="17">
        <v>0.99701597907764994</v>
      </c>
      <c r="S18" s="17">
        <v>3.6061916584211962</v>
      </c>
      <c r="T18" s="17">
        <v>703.92789882574857</v>
      </c>
      <c r="U18" s="17">
        <v>3.3791102132127113</v>
      </c>
      <c r="V18" s="17">
        <v>564.99685540020596</v>
      </c>
    </row>
    <row r="19" spans="2:22" x14ac:dyDescent="0.3">
      <c r="B19" s="17">
        <v>0.75</v>
      </c>
      <c r="C19" s="17">
        <v>8.5735098078966985</v>
      </c>
      <c r="D19" s="17">
        <v>2.7546230259247095</v>
      </c>
      <c r="E19" s="17">
        <v>1.5424567100955173</v>
      </c>
      <c r="F19" s="17">
        <v>2.8073738467151998</v>
      </c>
      <c r="G19" s="17">
        <v>1.1369071821082999</v>
      </c>
      <c r="H19" s="17">
        <v>3.0237047411040985</v>
      </c>
      <c r="I19" s="17">
        <v>8.9651619450555877</v>
      </c>
      <c r="J19" s="17">
        <v>105.66276220008064</v>
      </c>
      <c r="K19" s="17">
        <v>283.45652694350355</v>
      </c>
      <c r="L19" s="17">
        <v>123.1726580633815</v>
      </c>
      <c r="M19" s="17">
        <v>3.0131298657467248E-2</v>
      </c>
      <c r="N19" s="17">
        <v>1.3991130550860853E-2</v>
      </c>
      <c r="O19" s="17">
        <v>10.845814830466487</v>
      </c>
      <c r="P19" s="17">
        <v>5.1512288603062899</v>
      </c>
      <c r="Q19" s="17">
        <v>9.2431500080570217E-4</v>
      </c>
      <c r="R19" s="17">
        <v>0.96589147864161762</v>
      </c>
      <c r="S19" s="17">
        <v>3.6343805860073322</v>
      </c>
      <c r="T19" s="17">
        <v>708.64131735875878</v>
      </c>
      <c r="U19" s="17">
        <v>3.29227958568387</v>
      </c>
      <c r="V19" s="17">
        <v>565.03032655118056</v>
      </c>
    </row>
    <row r="20" spans="2:22" x14ac:dyDescent="0.3">
      <c r="B20" s="17">
        <v>0.8</v>
      </c>
      <c r="C20" s="17">
        <v>6.4222094453439347</v>
      </c>
      <c r="D20" s="17">
        <v>2.104979688397314</v>
      </c>
      <c r="E20" s="17">
        <v>1.5424567100955173</v>
      </c>
      <c r="F20" s="17">
        <v>2.8073738467151998</v>
      </c>
      <c r="G20" s="17">
        <v>1.1181613002894637</v>
      </c>
      <c r="H20" s="17">
        <v>3.5733140356715887</v>
      </c>
      <c r="I20" s="17">
        <v>8.8694633253153885</v>
      </c>
      <c r="J20" s="17">
        <v>106.29127448128449</v>
      </c>
      <c r="K20" s="17">
        <v>285.14260730579838</v>
      </c>
      <c r="L20" s="17">
        <v>123.94142024869507</v>
      </c>
      <c r="M20" s="17">
        <v>3.0389051278727968E-2</v>
      </c>
      <c r="N20" s="17">
        <v>1.417168993703463E-2</v>
      </c>
      <c r="O20" s="17">
        <v>10.504258527002829</v>
      </c>
      <c r="P20" s="17">
        <v>4.9638129009404244</v>
      </c>
      <c r="Q20" s="17">
        <v>9.0900061105456586E-4</v>
      </c>
      <c r="R20" s="17">
        <v>0.93918089232948121</v>
      </c>
      <c r="S20" s="17">
        <v>3.6589857819692497</v>
      </c>
      <c r="T20" s="17">
        <v>712.85651826449589</v>
      </c>
      <c r="U20" s="17">
        <v>3.2169127715262071</v>
      </c>
      <c r="V20" s="17">
        <v>565.14188100320121</v>
      </c>
    </row>
    <row r="21" spans="2:22" x14ac:dyDescent="0.3">
      <c r="B21" s="17">
        <v>0.85</v>
      </c>
      <c r="C21" s="17">
        <v>4.528303001585213</v>
      </c>
      <c r="D21" s="17">
        <v>1.5102579346330967</v>
      </c>
      <c r="E21" s="17">
        <v>1.5424567100955173</v>
      </c>
      <c r="F21" s="17">
        <v>2.8073738467151998</v>
      </c>
      <c r="G21" s="17">
        <v>1.1015597781977049</v>
      </c>
      <c r="H21" s="17">
        <v>4.0828254225992717</v>
      </c>
      <c r="I21" s="17">
        <v>8.7799064915337652</v>
      </c>
      <c r="J21" s="17">
        <v>106.85689298365322</v>
      </c>
      <c r="K21" s="17">
        <v>286.65996548306083</v>
      </c>
      <c r="L21" s="17">
        <v>124.63373733801447</v>
      </c>
      <c r="M21" s="17">
        <v>3.0618563448657987E-2</v>
      </c>
      <c r="N21" s="17">
        <v>1.4332987176605571E-2</v>
      </c>
      <c r="O21" s="17">
        <v>10.207040222168093</v>
      </c>
      <c r="P21" s="17">
        <v>4.803795582538716</v>
      </c>
      <c r="Q21" s="17">
        <v>8.9544089482254826E-4</v>
      </c>
      <c r="R21" s="17">
        <v>0.91601886380869246</v>
      </c>
      <c r="S21" s="17">
        <v>3.6806886285269229</v>
      </c>
      <c r="T21" s="17">
        <v>716.64991370765188</v>
      </c>
      <c r="U21" s="17">
        <v>3.1509193724350624</v>
      </c>
      <c r="V21" s="17">
        <v>565.30758865108601</v>
      </c>
    </row>
    <row r="22" spans="2:22" x14ac:dyDescent="0.3">
      <c r="B22" s="17">
        <v>0.9</v>
      </c>
      <c r="C22" s="17">
        <v>2.8483263976414599</v>
      </c>
      <c r="D22" s="17">
        <v>0.96455767849983387</v>
      </c>
      <c r="E22" s="17">
        <v>1.5424567100955173</v>
      </c>
      <c r="F22" s="17">
        <v>2.8073738467151998</v>
      </c>
      <c r="G22" s="17">
        <v>1.0867646432466844</v>
      </c>
      <c r="H22" s="17">
        <v>4.5555618020140098</v>
      </c>
      <c r="I22" s="17">
        <v>8.6963788936835122</v>
      </c>
      <c r="J22" s="17">
        <v>107.36874274104464</v>
      </c>
      <c r="K22" s="17">
        <v>288.03308077482569</v>
      </c>
      <c r="L22" s="17">
        <v>125.26063692308392</v>
      </c>
      <c r="M22" s="17">
        <v>3.0824226425290625E-2</v>
      </c>
      <c r="N22" s="17">
        <v>1.4477936858931504E-2</v>
      </c>
      <c r="O22" s="17">
        <v>9.9462077370741646</v>
      </c>
      <c r="P22" s="17">
        <v>4.6656811406944776</v>
      </c>
      <c r="Q22" s="17">
        <v>8.8335841987004747E-4</v>
      </c>
      <c r="R22" s="17">
        <v>0.89575064737944088</v>
      </c>
      <c r="S22" s="17">
        <v>3.7000071016729259</v>
      </c>
      <c r="T22" s="17">
        <v>720.08270193706414</v>
      </c>
      <c r="U22" s="17">
        <v>3.0926819958197846</v>
      </c>
      <c r="V22" s="17">
        <v>565.51039455519515</v>
      </c>
    </row>
    <row r="28" spans="2:22" x14ac:dyDescent="0.3">
      <c r="B28" s="18" t="s">
        <v>244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2" x14ac:dyDescent="0.3">
      <c r="B29" s="17">
        <v>0.6</v>
      </c>
      <c r="C29" s="17">
        <v>0.81623284969697418</v>
      </c>
      <c r="D29" s="17">
        <v>4.4425025448020206</v>
      </c>
      <c r="E29" s="17">
        <v>0.22509835164192682</v>
      </c>
      <c r="F29" s="17">
        <v>1.0904297235548702E-2</v>
      </c>
      <c r="G29" s="17">
        <v>0.64345652148042443</v>
      </c>
      <c r="H29" s="17">
        <v>18.376715030302581</v>
      </c>
    </row>
    <row r="30" spans="2:22" x14ac:dyDescent="0.3">
      <c r="B30" s="17">
        <v>0.65</v>
      </c>
      <c r="C30" s="17">
        <v>0.80884597742648334</v>
      </c>
      <c r="D30" s="17">
        <v>4.232117763206567</v>
      </c>
      <c r="E30" s="17">
        <v>0.23628832087184778</v>
      </c>
      <c r="F30" s="17">
        <v>1.0918775274592729E-2</v>
      </c>
      <c r="G30" s="17">
        <v>0.64425006280042751</v>
      </c>
      <c r="H30" s="17">
        <v>19.115402257351665</v>
      </c>
    </row>
    <row r="31" spans="2:22" x14ac:dyDescent="0.3">
      <c r="B31" s="17">
        <v>0.7</v>
      </c>
      <c r="C31" s="17">
        <v>0.80263455439498943</v>
      </c>
      <c r="D31" s="17">
        <v>4.0674035992439865</v>
      </c>
      <c r="E31" s="17">
        <v>0.24585708686147381</v>
      </c>
      <c r="F31" s="17">
        <v>1.0931116707946399E-2</v>
      </c>
      <c r="G31" s="17">
        <v>0.6449264967625421</v>
      </c>
      <c r="H31" s="17">
        <v>19.736544560501045</v>
      </c>
    </row>
    <row r="32" spans="2:22" x14ac:dyDescent="0.3">
      <c r="B32" s="17">
        <v>0.75</v>
      </c>
      <c r="C32" s="17">
        <v>0.79734318718128983</v>
      </c>
      <c r="D32" s="17">
        <v>3.9350543334053838</v>
      </c>
      <c r="E32" s="17">
        <v>0.25412609719536022</v>
      </c>
      <c r="F32" s="17">
        <v>1.0944911564070405E-2</v>
      </c>
      <c r="G32" s="17">
        <v>0.64568259282669893</v>
      </c>
      <c r="H32" s="17">
        <v>20.265681281871029</v>
      </c>
    </row>
    <row r="33" spans="2:8" x14ac:dyDescent="0.3">
      <c r="B33" s="17">
        <v>0.8</v>
      </c>
      <c r="C33" s="17">
        <v>0.79278489643200944</v>
      </c>
      <c r="D33" s="17">
        <v>3.8264621589186407</v>
      </c>
      <c r="E33" s="17">
        <v>0.26133800844448968</v>
      </c>
      <c r="F33" s="17">
        <v>1.0954575512681711E-2</v>
      </c>
      <c r="G33" s="17">
        <v>0.64621227385008462</v>
      </c>
      <c r="H33" s="17">
        <v>20.721510356799055</v>
      </c>
    </row>
    <row r="34" spans="2:8" x14ac:dyDescent="0.3">
      <c r="B34" s="17">
        <v>0.85</v>
      </c>
      <c r="C34" s="17">
        <v>0.7888197261148292</v>
      </c>
      <c r="D34" s="17">
        <v>3.7358136718650345</v>
      </c>
      <c r="E34" s="17">
        <v>0.26767930304745868</v>
      </c>
      <c r="F34" s="17">
        <v>1.0963902842859219E-2</v>
      </c>
      <c r="G34" s="17">
        <v>0.64672350481711383</v>
      </c>
      <c r="H34" s="17">
        <v>21.118027388517071</v>
      </c>
    </row>
    <row r="35" spans="2:8" x14ac:dyDescent="0.3">
      <c r="B35" s="17">
        <v>0.9</v>
      </c>
      <c r="C35" s="17">
        <v>0.78534089630807602</v>
      </c>
      <c r="D35" s="17">
        <v>3.6590423097357503</v>
      </c>
      <c r="E35" s="17">
        <v>0.27329555532584654</v>
      </c>
      <c r="F35" s="17">
        <v>1.0972643120066438E-2</v>
      </c>
      <c r="G35" s="17">
        <v>0.64720255941084148</v>
      </c>
      <c r="H35" s="17">
        <v>21.465910369192386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91C93-8228-4E85-B9E3-FB80BE715EB6}">
  <dimension ref="B2:Y42"/>
  <sheetViews>
    <sheetView zoomScale="72" zoomScaleNormal="55" workbookViewId="0">
      <selection activeCell="T25" sqref="T25"/>
    </sheetView>
  </sheetViews>
  <sheetFormatPr baseColWidth="10" defaultRowHeight="14.4" x14ac:dyDescent="0.3"/>
  <cols>
    <col min="4" max="4" width="11.5546875" style="2"/>
    <col min="11" max="11" width="18.88671875" bestFit="1" customWidth="1"/>
    <col min="12" max="12" width="20" bestFit="1" customWidth="1"/>
    <col min="13" max="13" width="13.21875" bestFit="1" customWidth="1"/>
    <col min="14" max="14" width="14.44140625" bestFit="1" customWidth="1"/>
    <col min="17" max="17" width="24.109375" customWidth="1"/>
    <col min="18" max="18" width="14.109375" bestFit="1" customWidth="1"/>
    <col min="19" max="19" width="14.6640625" customWidth="1"/>
    <col min="20" max="20" width="13.6640625" bestFit="1" customWidth="1"/>
  </cols>
  <sheetData>
    <row r="2" spans="2:18" x14ac:dyDescent="0.3"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57</v>
      </c>
      <c r="I2" s="1" t="s">
        <v>0</v>
      </c>
      <c r="K2" s="30" t="s">
        <v>56</v>
      </c>
      <c r="L2" s="30"/>
      <c r="N2" s="30" t="s">
        <v>65</v>
      </c>
      <c r="O2" s="30"/>
      <c r="Q2" s="30" t="s">
        <v>116</v>
      </c>
      <c r="R2" s="30"/>
    </row>
    <row r="3" spans="2:18" x14ac:dyDescent="0.3">
      <c r="B3" s="3">
        <v>1</v>
      </c>
      <c r="C3" s="4">
        <v>1073.1500000000001</v>
      </c>
      <c r="D3" s="5">
        <v>25</v>
      </c>
      <c r="E3" s="4">
        <v>1350.0381316636626</v>
      </c>
      <c r="F3" s="7">
        <v>3.0305681085599816</v>
      </c>
      <c r="G3" s="4">
        <v>1</v>
      </c>
      <c r="H3" s="4">
        <v>756.61237274082237</v>
      </c>
      <c r="I3" s="4">
        <f>C3-273.15</f>
        <v>800.00000000000011</v>
      </c>
      <c r="K3" s="8" t="s">
        <v>40</v>
      </c>
      <c r="L3" s="8" t="s">
        <v>41</v>
      </c>
      <c r="N3" s="8" t="s">
        <v>40</v>
      </c>
      <c r="O3" s="8" t="s">
        <v>41</v>
      </c>
      <c r="Q3" s="22" t="s">
        <v>40</v>
      </c>
      <c r="R3" s="22" t="s">
        <v>41</v>
      </c>
    </row>
    <row r="4" spans="2:18" x14ac:dyDescent="0.3">
      <c r="B4" s="3">
        <v>2</v>
      </c>
      <c r="C4" s="4">
        <v>1018.1871360117831</v>
      </c>
      <c r="D4" s="5">
        <v>17.482517482517483</v>
      </c>
      <c r="E4" s="4">
        <v>1281.3081492359206</v>
      </c>
      <c r="F4" s="7">
        <v>3.0357375517463359</v>
      </c>
      <c r="G4" s="4">
        <v>1</v>
      </c>
      <c r="H4" s="4">
        <v>686.34112082706883</v>
      </c>
      <c r="I4" s="4">
        <f t="shared" ref="I4:I42" si="0">C4-273.15</f>
        <v>745.0371360117831</v>
      </c>
      <c r="K4" s="9" t="s">
        <v>42</v>
      </c>
      <c r="L4" s="7">
        <v>0.1796736963027683</v>
      </c>
      <c r="N4" s="9" t="s">
        <v>66</v>
      </c>
      <c r="O4" s="10">
        <v>68.729982427742101</v>
      </c>
      <c r="Q4" s="13" t="s">
        <v>98</v>
      </c>
      <c r="R4" s="6">
        <v>336.14916869494635</v>
      </c>
    </row>
    <row r="5" spans="2:18" x14ac:dyDescent="0.3">
      <c r="B5" s="3">
        <v>3</v>
      </c>
      <c r="C5" s="4">
        <v>1073.1500000000001</v>
      </c>
      <c r="D5" s="5">
        <v>17.482517482517483</v>
      </c>
      <c r="E5" s="4">
        <v>1351.4823193165744</v>
      </c>
      <c r="F5" s="7">
        <v>3.1028601038812176</v>
      </c>
      <c r="G5" s="4">
        <v>1</v>
      </c>
      <c r="H5" s="4">
        <v>736.50270198870771</v>
      </c>
      <c r="I5" s="4">
        <f t="shared" si="0"/>
        <v>800.00000000000011</v>
      </c>
      <c r="K5" s="9" t="s">
        <v>43</v>
      </c>
      <c r="L5" s="7">
        <v>7.0174170080653853E-2</v>
      </c>
      <c r="N5" s="9" t="s">
        <v>67</v>
      </c>
      <c r="O5" s="10">
        <v>119.78456764170598</v>
      </c>
      <c r="Q5" s="13" t="s">
        <v>99</v>
      </c>
      <c r="R5" s="6">
        <v>285.89368248336706</v>
      </c>
    </row>
    <row r="6" spans="2:18" x14ac:dyDescent="0.3">
      <c r="B6" s="3">
        <v>4</v>
      </c>
      <c r="C6" s="4">
        <v>976.21764828798996</v>
      </c>
      <c r="D6" s="5">
        <v>9.1240875912408761</v>
      </c>
      <c r="E6" s="4">
        <v>1231.6977516748684</v>
      </c>
      <c r="F6" s="7">
        <v>3.112273260172465</v>
      </c>
      <c r="G6" s="4">
        <v>1</v>
      </c>
      <c r="H6" s="4">
        <v>613.91160179876624</v>
      </c>
      <c r="I6" s="4">
        <f t="shared" si="0"/>
        <v>703.06764828798998</v>
      </c>
      <c r="K6" s="13" t="s">
        <v>47</v>
      </c>
      <c r="L6" s="7">
        <v>0.24984786638342216</v>
      </c>
      <c r="N6" s="9" t="s">
        <v>68</v>
      </c>
      <c r="O6" s="10">
        <v>7.1779640670783724</v>
      </c>
      <c r="Q6" s="13" t="s">
        <v>100</v>
      </c>
      <c r="R6" s="6">
        <v>1688.3683157601977</v>
      </c>
    </row>
    <row r="7" spans="2:18" x14ac:dyDescent="0.3">
      <c r="B7" s="3">
        <v>5</v>
      </c>
      <c r="C7" s="4">
        <v>580.60739984606084</v>
      </c>
      <c r="D7" s="5">
        <v>9.1240875912408761</v>
      </c>
      <c r="E7" s="4">
        <v>758.77316593152807</v>
      </c>
      <c r="F7" s="7">
        <v>2.493493145865219</v>
      </c>
      <c r="G7" s="4">
        <v>1</v>
      </c>
      <c r="H7" s="4">
        <v>325.47630713613137</v>
      </c>
      <c r="I7" s="4">
        <f t="shared" si="0"/>
        <v>307.45739984606087</v>
      </c>
      <c r="K7" s="9" t="s">
        <v>44</v>
      </c>
      <c r="L7" s="7">
        <v>0.4850508570994323</v>
      </c>
      <c r="N7" s="9" t="s">
        <v>69</v>
      </c>
      <c r="O7" s="10">
        <v>-38.640801901504481</v>
      </c>
      <c r="Q7" s="13" t="s">
        <v>105</v>
      </c>
      <c r="R7" s="6">
        <v>884.52935792049959</v>
      </c>
    </row>
    <row r="8" spans="2:18" x14ac:dyDescent="0.3">
      <c r="B8" s="3">
        <v>6</v>
      </c>
      <c r="C8" s="4">
        <v>435.4382571755965</v>
      </c>
      <c r="D8" s="5">
        <v>9.1240875912408761</v>
      </c>
      <c r="E8" s="4">
        <v>591.20237940579909</v>
      </c>
      <c r="F8" s="7">
        <v>2.1610567826542426</v>
      </c>
      <c r="G8" s="4">
        <v>1</v>
      </c>
      <c r="H8" s="4">
        <v>257.02142230175508</v>
      </c>
      <c r="I8" s="4">
        <f t="shared" si="0"/>
        <v>162.28825717559653</v>
      </c>
      <c r="K8" s="9" t="s">
        <v>45</v>
      </c>
      <c r="L8" s="7">
        <v>0.16757078652572899</v>
      </c>
      <c r="N8" s="9" t="s">
        <v>70</v>
      </c>
      <c r="O8" s="10">
        <v>-18.872729900081151</v>
      </c>
      <c r="Q8" s="13" t="s">
        <v>104</v>
      </c>
      <c r="R8" s="6">
        <v>259.69048700602229</v>
      </c>
    </row>
    <row r="9" spans="2:18" x14ac:dyDescent="0.3">
      <c r="B9" s="3" t="s">
        <v>29</v>
      </c>
      <c r="C9" s="4">
        <v>435.4382571755965</v>
      </c>
      <c r="D9" s="5">
        <v>9.1240875912408761</v>
      </c>
      <c r="E9" s="4">
        <v>591.20237940579909</v>
      </c>
      <c r="F9" s="7">
        <v>2.1610567826542426</v>
      </c>
      <c r="G9" s="4">
        <v>0.79946350834994295</v>
      </c>
      <c r="H9" s="4">
        <v>257.02142230175508</v>
      </c>
      <c r="I9" s="4">
        <f t="shared" si="0"/>
        <v>162.28825717559653</v>
      </c>
      <c r="K9" s="9" t="s">
        <v>48</v>
      </c>
      <c r="L9" s="7">
        <v>1.103370874887479E-2</v>
      </c>
      <c r="N9" s="9" t="s">
        <v>71</v>
      </c>
      <c r="O9" s="10">
        <v>-5.87834077994729E-3</v>
      </c>
      <c r="Q9" s="13" t="s">
        <v>101</v>
      </c>
      <c r="R9" s="6">
        <v>-6.7709153400709399</v>
      </c>
    </row>
    <row r="10" spans="2:18" x14ac:dyDescent="0.3">
      <c r="B10" s="3" t="s">
        <v>30</v>
      </c>
      <c r="C10" s="4">
        <v>423.35913575479753</v>
      </c>
      <c r="D10" s="5">
        <v>9.1240875912408761</v>
      </c>
      <c r="E10" s="4">
        <v>0.57660060448894723</v>
      </c>
      <c r="F10" s="7">
        <v>2.1270479527453361E-3</v>
      </c>
      <c r="G10" s="4">
        <v>0.79946350834994295</v>
      </c>
      <c r="H10" s="4">
        <v>0.25257320939780875</v>
      </c>
      <c r="I10" s="4">
        <f t="shared" si="0"/>
        <v>150.20913575479756</v>
      </c>
      <c r="K10" s="9" t="s">
        <v>49</v>
      </c>
      <c r="L10" s="7">
        <v>6.8670753276560997E-2</v>
      </c>
      <c r="N10" s="9" t="s">
        <v>72</v>
      </c>
      <c r="O10" s="10">
        <v>131.00101826786243</v>
      </c>
      <c r="Q10" s="13" t="s">
        <v>102</v>
      </c>
      <c r="R10" s="6">
        <v>5826.4193083540094</v>
      </c>
    </row>
    <row r="11" spans="2:18" x14ac:dyDescent="0.3">
      <c r="B11" s="2" t="s">
        <v>31</v>
      </c>
      <c r="C11" s="4">
        <v>357.24648058947918</v>
      </c>
      <c r="D11" s="5">
        <v>9.1240875912408761</v>
      </c>
      <c r="E11" s="4">
        <v>0.48705207701453501</v>
      </c>
      <c r="F11" s="7">
        <v>1.8961819516546078E-3</v>
      </c>
      <c r="G11" s="4">
        <v>0.79946350834994295</v>
      </c>
      <c r="H11" s="4">
        <v>0.23185738014859708</v>
      </c>
      <c r="I11" s="4">
        <f t="shared" si="0"/>
        <v>84.096480589479199</v>
      </c>
      <c r="K11" s="9" t="s">
        <v>50</v>
      </c>
      <c r="L11" s="7">
        <v>1.2546499075118688E-2</v>
      </c>
      <c r="N11" s="9" t="s">
        <v>73</v>
      </c>
      <c r="O11" s="10">
        <v>7.1720857262984259</v>
      </c>
      <c r="Q11" s="13" t="s">
        <v>103</v>
      </c>
      <c r="R11" s="6">
        <v>10154.449238863286</v>
      </c>
    </row>
    <row r="12" spans="2:18" x14ac:dyDescent="0.3">
      <c r="B12" s="3" t="s">
        <v>32</v>
      </c>
      <c r="C12" s="4">
        <v>346.62379557580101</v>
      </c>
      <c r="D12" s="5">
        <v>9.1240875912408761</v>
      </c>
      <c r="E12" s="4">
        <v>0.46883049635692192</v>
      </c>
      <c r="F12" s="7">
        <v>1.8443861945514714E-3</v>
      </c>
      <c r="G12" s="4">
        <v>0.79946350834994295</v>
      </c>
      <c r="H12" s="4">
        <v>0.22907870447128417</v>
      </c>
      <c r="I12" s="4">
        <f t="shared" si="0"/>
        <v>73.473795575801034</v>
      </c>
      <c r="K12" s="9" t="s">
        <v>51</v>
      </c>
      <c r="L12" s="7">
        <v>9.2250961100554474E-2</v>
      </c>
      <c r="N12" s="11" t="s">
        <v>74</v>
      </c>
      <c r="O12" s="12">
        <v>138.17310399416087</v>
      </c>
      <c r="Q12" s="13" t="s">
        <v>106</v>
      </c>
      <c r="R12" s="6">
        <v>608.49467667280817</v>
      </c>
    </row>
    <row r="13" spans="2:18" x14ac:dyDescent="0.3">
      <c r="B13" s="3" t="s">
        <v>33</v>
      </c>
      <c r="C13" s="4">
        <v>328.10044857875562</v>
      </c>
      <c r="D13" s="5">
        <v>9.1240875912408761</v>
      </c>
      <c r="E13" s="4">
        <v>427.23019535530364</v>
      </c>
      <c r="F13" s="7">
        <v>1.7207811154245041</v>
      </c>
      <c r="G13" s="4">
        <v>0.79946350834994295</v>
      </c>
      <c r="H13" s="4">
        <v>224.33125781137119</v>
      </c>
      <c r="I13" s="4">
        <f t="shared" si="0"/>
        <v>54.95044857875564</v>
      </c>
      <c r="K13" s="9" t="s">
        <v>52</v>
      </c>
      <c r="L13" s="7">
        <v>7.2309456578341938E-2</v>
      </c>
      <c r="Q13" s="13" t="s">
        <v>107</v>
      </c>
      <c r="R13" s="6">
        <v>-1469.0537348517778</v>
      </c>
    </row>
    <row r="14" spans="2:18" x14ac:dyDescent="0.3">
      <c r="B14" s="3" t="s">
        <v>34</v>
      </c>
      <c r="C14" s="4">
        <v>435.4382571755965</v>
      </c>
      <c r="D14" s="5">
        <v>9.1240875912408761</v>
      </c>
      <c r="E14" s="4">
        <v>591.20237940579909</v>
      </c>
      <c r="F14" s="7">
        <v>2.1610567826542426</v>
      </c>
      <c r="G14" s="4">
        <v>0.20053649165005705</v>
      </c>
      <c r="H14" s="4">
        <v>257.02142230175508</v>
      </c>
      <c r="I14" s="4">
        <f t="shared" si="0"/>
        <v>162.28825717559653</v>
      </c>
      <c r="K14" s="9" t="s">
        <v>54</v>
      </c>
      <c r="L14" s="7">
        <v>1.2769418795914119E-2</v>
      </c>
      <c r="N14" s="31" t="s">
        <v>75</v>
      </c>
      <c r="O14" s="31"/>
      <c r="Q14" s="13" t="s">
        <v>108</v>
      </c>
      <c r="R14" s="6">
        <v>-717.50721988726536</v>
      </c>
    </row>
    <row r="15" spans="2:18" x14ac:dyDescent="0.3">
      <c r="B15" s="3">
        <v>7</v>
      </c>
      <c r="C15" s="4">
        <v>328.15</v>
      </c>
      <c r="D15" s="5">
        <v>9.1240875912408761</v>
      </c>
      <c r="E15" s="4">
        <v>427.37611738856413</v>
      </c>
      <c r="F15" s="7">
        <v>1.72122584179495</v>
      </c>
      <c r="G15" s="4">
        <v>0.79946350834994295</v>
      </c>
      <c r="H15" s="4">
        <v>224.33075530171814</v>
      </c>
      <c r="I15" s="4">
        <f t="shared" si="0"/>
        <v>55</v>
      </c>
      <c r="K15" s="9" t="s">
        <v>53</v>
      </c>
      <c r="L15" s="7">
        <v>8.5078875374256055E-2</v>
      </c>
      <c r="N15" s="9" t="s">
        <v>80</v>
      </c>
      <c r="O15" s="10">
        <v>7.7745376749850656</v>
      </c>
      <c r="Q15" s="13" t="s">
        <v>109</v>
      </c>
      <c r="R15" s="6">
        <v>-0.22348393544019207</v>
      </c>
    </row>
    <row r="16" spans="2:18" x14ac:dyDescent="0.3">
      <c r="B16" s="3">
        <v>8</v>
      </c>
      <c r="C16" s="4">
        <v>407.92598052767181</v>
      </c>
      <c r="D16" s="5">
        <v>25</v>
      </c>
      <c r="E16" s="4">
        <v>475.70953285771714</v>
      </c>
      <c r="F16" s="7">
        <v>1.7343043486568708</v>
      </c>
      <c r="G16" s="4">
        <v>0.79946350834994295</v>
      </c>
      <c r="H16" s="4">
        <v>268.76481394998945</v>
      </c>
      <c r="I16" s="4">
        <f t="shared" si="0"/>
        <v>134.77598052767183</v>
      </c>
      <c r="K16" s="9" t="s">
        <v>46</v>
      </c>
      <c r="L16" s="7">
        <v>3.3257922587167379E-2</v>
      </c>
      <c r="N16" s="9" t="s">
        <v>81</v>
      </c>
      <c r="O16" s="10">
        <v>52.432314177470431</v>
      </c>
      <c r="Q16" s="13" t="s">
        <v>110</v>
      </c>
      <c r="R16" s="6">
        <v>1493.7562417078809</v>
      </c>
    </row>
    <row r="17" spans="2:25" x14ac:dyDescent="0.3">
      <c r="B17" s="3">
        <v>9</v>
      </c>
      <c r="C17" s="4">
        <v>547.69370647629023</v>
      </c>
      <c r="D17" s="5">
        <v>25</v>
      </c>
      <c r="E17" s="4">
        <v>685.31357954095802</v>
      </c>
      <c r="F17" s="7">
        <v>2.180095650521598</v>
      </c>
      <c r="G17" s="4">
        <v>0.79946350834994295</v>
      </c>
      <c r="H17" s="4">
        <v>345.4561839822619</v>
      </c>
      <c r="I17" s="4">
        <f t="shared" si="0"/>
        <v>274.54370647629025</v>
      </c>
      <c r="K17" s="11" t="s">
        <v>55</v>
      </c>
      <c r="L17" s="16">
        <v>1.1666246047954387E-4</v>
      </c>
      <c r="N17" s="9" t="s">
        <v>82</v>
      </c>
      <c r="O17" s="10">
        <v>59.052048428258885</v>
      </c>
      <c r="Q17" s="13" t="s">
        <v>111</v>
      </c>
      <c r="R17" s="6">
        <v>1214.5651249638913</v>
      </c>
    </row>
    <row r="18" spans="2:25" x14ac:dyDescent="0.3">
      <c r="B18" s="3">
        <v>10</v>
      </c>
      <c r="C18" s="4">
        <v>547.69370647629023</v>
      </c>
      <c r="D18" s="5">
        <v>25</v>
      </c>
      <c r="E18" s="4">
        <v>685.31357954095802</v>
      </c>
      <c r="F18" s="7">
        <v>2.180095650521598</v>
      </c>
      <c r="G18" s="4">
        <v>0.20053649165005705</v>
      </c>
      <c r="H18" s="4">
        <v>345.4561839822619</v>
      </c>
      <c r="I18" s="4">
        <f t="shared" si="0"/>
        <v>274.54370647629025</v>
      </c>
      <c r="N18" s="9" t="s">
        <v>83</v>
      </c>
      <c r="O18" s="10">
        <v>54.1277629959406</v>
      </c>
      <c r="Q18" s="13" t="s">
        <v>112</v>
      </c>
      <c r="R18" s="6">
        <v>392226.85885319277</v>
      </c>
    </row>
    <row r="19" spans="2:25" x14ac:dyDescent="0.3">
      <c r="B19" s="3">
        <v>11</v>
      </c>
      <c r="C19" s="4">
        <v>547.69370647629023</v>
      </c>
      <c r="D19" s="5">
        <v>25</v>
      </c>
      <c r="E19" s="4">
        <v>685.31357954095802</v>
      </c>
      <c r="F19" s="7">
        <v>2.180095650521598</v>
      </c>
      <c r="G19" s="4">
        <v>1</v>
      </c>
      <c r="H19" s="4">
        <v>345.4561839822619</v>
      </c>
      <c r="I19" s="4">
        <f t="shared" si="0"/>
        <v>274.54370647629025</v>
      </c>
      <c r="K19" s="31" t="s">
        <v>58</v>
      </c>
      <c r="L19" s="31"/>
      <c r="N19" s="9" t="s">
        <v>84</v>
      </c>
      <c r="O19" s="10">
        <v>55.302895315550657</v>
      </c>
      <c r="Q19" s="13" t="s">
        <v>123</v>
      </c>
      <c r="R19" s="6">
        <v>444289.70597502514</v>
      </c>
    </row>
    <row r="20" spans="2:25" x14ac:dyDescent="0.3">
      <c r="B20" s="3">
        <v>12</v>
      </c>
      <c r="C20" s="4">
        <v>932.93660164805499</v>
      </c>
      <c r="D20" s="5">
        <v>25</v>
      </c>
      <c r="E20" s="4">
        <v>1170.3644353608943</v>
      </c>
      <c r="F20" s="7">
        <v>2.8511829889834948</v>
      </c>
      <c r="G20" s="4">
        <v>1</v>
      </c>
      <c r="H20" s="4">
        <v>630.42234983978369</v>
      </c>
      <c r="I20" s="4">
        <f t="shared" si="0"/>
        <v>659.78660164805501</v>
      </c>
      <c r="K20" s="13" t="s">
        <v>59</v>
      </c>
      <c r="L20" s="4">
        <v>39.195104368098185</v>
      </c>
      <c r="N20" s="9" t="s">
        <v>85</v>
      </c>
      <c r="O20" s="10">
        <v>3.4935322440475982</v>
      </c>
      <c r="Q20" s="30" t="s">
        <v>117</v>
      </c>
      <c r="R20" s="30"/>
      <c r="S20" s="30" t="s">
        <v>117</v>
      </c>
      <c r="T20" s="30"/>
    </row>
    <row r="21" spans="2:25" x14ac:dyDescent="0.3">
      <c r="B21" s="3">
        <v>17</v>
      </c>
      <c r="C21" s="4">
        <v>313.14999999999998</v>
      </c>
      <c r="D21" s="5">
        <v>7.8923107438086744</v>
      </c>
      <c r="E21" s="4">
        <v>-132.35463919610541</v>
      </c>
      <c r="F21" s="7">
        <v>-0.37994748587359245</v>
      </c>
      <c r="G21" s="4">
        <v>0.1789815043892197</v>
      </c>
      <c r="H21" s="4">
        <v>0.52460446529691762</v>
      </c>
      <c r="I21" s="4">
        <f t="shared" si="0"/>
        <v>40</v>
      </c>
      <c r="K21" s="13" t="s">
        <v>60</v>
      </c>
      <c r="L21" s="4">
        <v>20.534157255095636</v>
      </c>
      <c r="N21" s="9" t="s">
        <v>86</v>
      </c>
      <c r="O21" s="10">
        <v>22.472364524327521</v>
      </c>
      <c r="Q21" s="22" t="s">
        <v>118</v>
      </c>
      <c r="R21" s="22" t="s">
        <v>41</v>
      </c>
      <c r="S21" s="22" t="s">
        <v>118</v>
      </c>
      <c r="T21" s="22" t="s">
        <v>41</v>
      </c>
    </row>
    <row r="22" spans="2:25" x14ac:dyDescent="0.3">
      <c r="B22" s="3">
        <v>18</v>
      </c>
      <c r="C22" s="4">
        <v>313.1583575108412</v>
      </c>
      <c r="D22" s="5">
        <v>31.569242975234697</v>
      </c>
      <c r="E22" s="4">
        <v>-132.32179590986752</v>
      </c>
      <c r="F22" s="7">
        <v>-0.37993175416231956</v>
      </c>
      <c r="G22" s="4">
        <v>0.1789815043892197</v>
      </c>
      <c r="H22" s="4">
        <v>0.55275734181882941</v>
      </c>
      <c r="I22" s="4">
        <f t="shared" si="0"/>
        <v>40.008357510841222</v>
      </c>
      <c r="K22" s="13" t="s">
        <v>61</v>
      </c>
      <c r="L22" s="4">
        <v>7.8036300653483694</v>
      </c>
      <c r="N22" s="9" t="s">
        <v>87</v>
      </c>
      <c r="O22" s="6">
        <v>57.594979992439178</v>
      </c>
      <c r="Q22" s="23" t="s">
        <v>113</v>
      </c>
      <c r="R22" s="24">
        <v>240.46390970622548</v>
      </c>
      <c r="S22" s="23" t="s">
        <v>129</v>
      </c>
      <c r="T22" s="27">
        <v>0</v>
      </c>
    </row>
    <row r="23" spans="2:25" x14ac:dyDescent="0.3">
      <c r="B23" s="3" t="s">
        <v>35</v>
      </c>
      <c r="C23" s="4">
        <v>347.24648058947918</v>
      </c>
      <c r="D23" s="5">
        <v>31.569242975234697</v>
      </c>
      <c r="E23" s="4">
        <v>-70.674595063457787</v>
      </c>
      <c r="F23" s="7">
        <v>-0.19317568283781225</v>
      </c>
      <c r="G23" s="4">
        <v>0.1789815043892197</v>
      </c>
      <c r="H23" s="4">
        <v>6.518635522826691</v>
      </c>
      <c r="I23" s="4">
        <f t="shared" si="0"/>
        <v>74.096480589479199</v>
      </c>
      <c r="K23" s="13" t="s">
        <v>62</v>
      </c>
      <c r="L23" s="4">
        <v>6.6369598496463702</v>
      </c>
      <c r="N23" s="9" t="s">
        <v>88</v>
      </c>
      <c r="O23" s="6">
        <v>23.18096972790984</v>
      </c>
      <c r="Q23" s="23" t="s">
        <v>114</v>
      </c>
      <c r="R23" s="24">
        <v>768240.42493118276</v>
      </c>
      <c r="S23" s="23" t="s">
        <v>128</v>
      </c>
      <c r="T23" s="27">
        <v>0</v>
      </c>
    </row>
    <row r="24" spans="2:25" x14ac:dyDescent="0.3">
      <c r="B24" s="3" t="s">
        <v>36</v>
      </c>
      <c r="C24" s="4">
        <v>347.24648058947918</v>
      </c>
      <c r="D24" s="5">
        <v>31.569242975234697</v>
      </c>
      <c r="E24" s="4">
        <v>313.00054226931974</v>
      </c>
      <c r="F24" s="7">
        <v>0.91173151933586583</v>
      </c>
      <c r="G24" s="4">
        <v>0.1789815043892197</v>
      </c>
      <c r="H24" s="4">
        <v>60.765690527522125</v>
      </c>
      <c r="I24" s="4">
        <f t="shared" si="0"/>
        <v>74.096480589479199</v>
      </c>
      <c r="K24" s="13" t="s">
        <v>63</v>
      </c>
      <c r="L24" s="4">
        <v>6.0286583481758358</v>
      </c>
      <c r="N24" s="11" t="s">
        <v>89</v>
      </c>
      <c r="O24" s="15">
        <v>23.18422680226918</v>
      </c>
      <c r="Q24" s="23" t="s">
        <v>115</v>
      </c>
      <c r="R24" s="24">
        <v>36531.589113909038</v>
      </c>
      <c r="S24" s="23" t="s">
        <v>127</v>
      </c>
      <c r="T24" s="27">
        <v>444289.70597502514</v>
      </c>
      <c r="V24" s="9"/>
      <c r="W24" s="9"/>
      <c r="X24" s="9"/>
      <c r="Y24" s="9"/>
    </row>
    <row r="25" spans="2:25" x14ac:dyDescent="0.3">
      <c r="B25" s="3">
        <v>15</v>
      </c>
      <c r="C25" s="4">
        <v>396.4382571755965</v>
      </c>
      <c r="D25" s="5">
        <v>31.569242975234697</v>
      </c>
      <c r="E25" s="4">
        <v>383.09995906623425</v>
      </c>
      <c r="F25" s="7">
        <v>1.100267344850671</v>
      </c>
      <c r="G25" s="4">
        <v>0.1789815043892197</v>
      </c>
      <c r="H25" s="4">
        <v>74.65315094719746</v>
      </c>
      <c r="I25" s="4">
        <f t="shared" si="0"/>
        <v>123.28825717559653</v>
      </c>
      <c r="K25" s="13" t="s">
        <v>64</v>
      </c>
      <c r="L25" s="4">
        <v>-0.15718533150875055</v>
      </c>
      <c r="Q25" s="9"/>
      <c r="R25" s="9"/>
      <c r="S25" s="9"/>
      <c r="T25" s="26">
        <v>857075.32507663034</v>
      </c>
      <c r="V25" s="9"/>
      <c r="W25" s="9"/>
      <c r="X25" s="9"/>
      <c r="Y25" s="9"/>
    </row>
    <row r="26" spans="2:25" x14ac:dyDescent="0.3">
      <c r="B26" s="3">
        <v>16</v>
      </c>
      <c r="C26" s="4">
        <v>368.14329244204333</v>
      </c>
      <c r="D26" s="5">
        <v>7.8923107438086744</v>
      </c>
      <c r="E26" s="4">
        <v>342.99545725431005</v>
      </c>
      <c r="F26" s="7">
        <v>1.1196252392794583</v>
      </c>
      <c r="G26" s="4">
        <v>0.1789815043892197</v>
      </c>
      <c r="H26" s="4">
        <v>28.777092911330342</v>
      </c>
      <c r="I26" s="4">
        <f t="shared" si="0"/>
        <v>94.993292442043355</v>
      </c>
      <c r="N26" s="31" t="s">
        <v>76</v>
      </c>
      <c r="O26" s="31"/>
      <c r="Q26" s="9"/>
      <c r="R26" s="9"/>
      <c r="S26" s="9"/>
      <c r="T26" s="9"/>
      <c r="V26" s="9"/>
      <c r="W26" s="9"/>
      <c r="X26" s="9"/>
      <c r="Y26" s="9"/>
    </row>
    <row r="27" spans="2:25" x14ac:dyDescent="0.3">
      <c r="B27" s="3" t="s">
        <v>28</v>
      </c>
      <c r="C27" s="4">
        <v>313.14999999999998</v>
      </c>
      <c r="D27" s="5">
        <v>7.8923107438086744</v>
      </c>
      <c r="E27" s="4">
        <v>271.65055019539255</v>
      </c>
      <c r="F27" s="7">
        <v>0.91018564327057938</v>
      </c>
      <c r="G27" s="4">
        <v>0.1789815043892197</v>
      </c>
      <c r="H27" s="4">
        <v>19.876601402460075</v>
      </c>
      <c r="I27" s="4">
        <f t="shared" si="0"/>
        <v>40</v>
      </c>
      <c r="N27" s="13" t="s">
        <v>77</v>
      </c>
      <c r="O27" s="6">
        <v>0.71269346475761464</v>
      </c>
      <c r="Q27" s="9"/>
      <c r="R27" s="9"/>
      <c r="S27" s="9"/>
      <c r="T27" s="9"/>
      <c r="U27" s="9"/>
      <c r="V27" s="9"/>
      <c r="W27" s="9"/>
      <c r="X27" s="9"/>
      <c r="Y27" s="9"/>
    </row>
    <row r="28" spans="2:25" x14ac:dyDescent="0.3">
      <c r="B28" s="3" t="s">
        <v>37</v>
      </c>
      <c r="C28" s="4">
        <v>298.14999999999998</v>
      </c>
      <c r="D28" s="5">
        <v>101.325</v>
      </c>
      <c r="E28" s="4">
        <v>104.92011957080643</v>
      </c>
      <c r="F28" s="7">
        <v>0.36719964130372146</v>
      </c>
      <c r="G28" s="4">
        <v>3.4593867266388565</v>
      </c>
      <c r="H28" s="4">
        <v>2.5073905791015251E-5</v>
      </c>
      <c r="I28" s="4">
        <f t="shared" si="0"/>
        <v>25</v>
      </c>
      <c r="N28" s="13" t="s">
        <v>78</v>
      </c>
      <c r="O28" s="6">
        <v>0.99770990140218263</v>
      </c>
      <c r="Q28" s="9"/>
      <c r="R28" s="9"/>
      <c r="S28" s="9"/>
      <c r="T28" s="9"/>
      <c r="U28" s="9"/>
      <c r="V28" s="9"/>
      <c r="W28" s="9"/>
      <c r="X28" s="9"/>
      <c r="Y28" s="9"/>
    </row>
    <row r="29" spans="2:25" x14ac:dyDescent="0.3">
      <c r="B29" s="3" t="s">
        <v>38</v>
      </c>
      <c r="C29" s="4">
        <v>303.14999999999998</v>
      </c>
      <c r="D29" s="5">
        <v>101.325</v>
      </c>
      <c r="E29" s="4">
        <v>125.82251132178534</v>
      </c>
      <c r="F29" s="7">
        <v>0.43672528196163279</v>
      </c>
      <c r="G29" s="4">
        <v>3.4593867266388565</v>
      </c>
      <c r="H29" s="4">
        <v>0.17334706272843686</v>
      </c>
      <c r="I29" s="4">
        <f t="shared" si="0"/>
        <v>30</v>
      </c>
      <c r="N29" s="14" t="s">
        <v>79</v>
      </c>
      <c r="O29" s="15">
        <v>0.6</v>
      </c>
      <c r="Q29" s="9"/>
      <c r="R29" s="9"/>
      <c r="S29" s="9"/>
      <c r="T29" s="9"/>
      <c r="U29" s="9"/>
      <c r="V29" s="9"/>
      <c r="W29" s="9"/>
      <c r="X29" s="9"/>
      <c r="Y29" s="9"/>
    </row>
    <row r="30" spans="2:25" x14ac:dyDescent="0.3">
      <c r="B30" s="3" t="s">
        <v>39</v>
      </c>
      <c r="C30" s="4">
        <v>304.03312670606874</v>
      </c>
      <c r="D30" s="5">
        <v>101.325</v>
      </c>
      <c r="E30" s="4">
        <v>129.51374904828285</v>
      </c>
      <c r="F30" s="7">
        <v>0.44888385544072534</v>
      </c>
      <c r="G30" s="4">
        <v>3.4593867266388565</v>
      </c>
      <c r="H30" s="4">
        <v>0.23950610643450637</v>
      </c>
      <c r="I30" s="4">
        <f t="shared" si="0"/>
        <v>30.883126706068765</v>
      </c>
      <c r="Q30" s="9"/>
      <c r="R30" s="9"/>
      <c r="S30" s="9"/>
      <c r="T30" s="9"/>
      <c r="U30" s="9"/>
      <c r="V30" s="9"/>
      <c r="W30" s="9"/>
      <c r="X30" s="9"/>
      <c r="Y30" s="9"/>
    </row>
    <row r="31" spans="2:25" x14ac:dyDescent="0.3">
      <c r="B31" s="3" t="s">
        <v>29</v>
      </c>
      <c r="C31" s="4">
        <v>435.4382571755965</v>
      </c>
      <c r="D31" s="5">
        <v>9124.0875912408756</v>
      </c>
      <c r="E31" s="4">
        <v>591.20237940555796</v>
      </c>
      <c r="F31" s="7">
        <v>2.1610567826542426</v>
      </c>
      <c r="G31" s="4">
        <v>0.79946350834994295</v>
      </c>
      <c r="H31" s="4">
        <v>257.03525167707909</v>
      </c>
      <c r="I31" s="4">
        <f t="shared" si="0"/>
        <v>162.28825717559653</v>
      </c>
      <c r="Q31" s="9"/>
      <c r="R31" s="9"/>
      <c r="S31" s="9"/>
      <c r="T31" s="9"/>
      <c r="U31" s="9"/>
      <c r="V31" s="9"/>
      <c r="W31" s="9"/>
      <c r="X31" s="9"/>
      <c r="Y31" s="9"/>
    </row>
    <row r="32" spans="2:25" x14ac:dyDescent="0.3">
      <c r="B32" s="3" t="s">
        <v>30</v>
      </c>
      <c r="C32" s="4">
        <v>423.35913575479753</v>
      </c>
      <c r="D32" s="5">
        <v>9124.0875912408756</v>
      </c>
      <c r="E32" s="4">
        <v>576.60060448894728</v>
      </c>
      <c r="F32" s="7">
        <v>2.1270479527453361</v>
      </c>
      <c r="G32" s="4">
        <v>0.79946350834994295</v>
      </c>
      <c r="H32" s="4">
        <v>252.57320939780874</v>
      </c>
      <c r="I32" s="4">
        <f t="shared" si="0"/>
        <v>150.20913575479756</v>
      </c>
      <c r="Q32" s="9"/>
      <c r="R32" s="9"/>
      <c r="S32" s="9"/>
      <c r="T32" s="9"/>
      <c r="U32" s="9"/>
      <c r="V32" s="9"/>
      <c r="W32" s="9"/>
      <c r="X32" s="9"/>
      <c r="Y32" s="9"/>
    </row>
    <row r="33" spans="2:25" x14ac:dyDescent="0.3">
      <c r="B33" s="3" t="s">
        <v>31</v>
      </c>
      <c r="C33" s="4">
        <v>357.24648058947918</v>
      </c>
      <c r="D33" s="5">
        <v>9124.0875912408756</v>
      </c>
      <c r="E33" s="4">
        <v>487.05207701453503</v>
      </c>
      <c r="F33" s="7">
        <v>1.8961819516546079</v>
      </c>
      <c r="G33" s="4">
        <v>0.79946350834994295</v>
      </c>
      <c r="H33" s="4">
        <v>231.85738014859709</v>
      </c>
      <c r="I33" s="4">
        <f t="shared" si="0"/>
        <v>84.096480589479199</v>
      </c>
      <c r="Q33" s="9"/>
      <c r="R33" s="9"/>
      <c r="S33" s="9"/>
      <c r="T33" s="9"/>
      <c r="U33" s="9"/>
      <c r="V33" s="9"/>
      <c r="W33" s="9"/>
      <c r="X33" s="9"/>
      <c r="Y33" s="9"/>
    </row>
    <row r="34" spans="2:25" x14ac:dyDescent="0.3">
      <c r="B34" s="2" t="s">
        <v>32</v>
      </c>
      <c r="C34" s="4">
        <v>346.62379557580101</v>
      </c>
      <c r="D34" s="5">
        <v>9124.0875912408756</v>
      </c>
      <c r="E34" s="4">
        <v>468.83049635692191</v>
      </c>
      <c r="F34" s="7">
        <v>1.8443861945514715</v>
      </c>
      <c r="G34" s="4">
        <v>0.79946350834994295</v>
      </c>
      <c r="H34" s="4">
        <v>229.07870447128417</v>
      </c>
      <c r="I34" s="4">
        <f t="shared" si="0"/>
        <v>73.473795575801034</v>
      </c>
    </row>
    <row r="35" spans="2:25" x14ac:dyDescent="0.3">
      <c r="B35" s="2">
        <v>13</v>
      </c>
      <c r="C35" s="4">
        <v>298.14999999999998</v>
      </c>
      <c r="D35" s="5">
        <v>0.101325</v>
      </c>
      <c r="E35" s="4">
        <v>424.43605428165802</v>
      </c>
      <c r="F35" s="7">
        <v>3.8804887263997387</v>
      </c>
      <c r="G35" s="4">
        <v>1.1599999999999999</v>
      </c>
      <c r="H35" s="4">
        <v>2.1111792130950945E-2</v>
      </c>
      <c r="I35" s="4">
        <f t="shared" si="0"/>
        <v>25</v>
      </c>
    </row>
    <row r="36" spans="2:25" x14ac:dyDescent="0.3">
      <c r="B36" s="2">
        <v>14</v>
      </c>
      <c r="C36" s="4">
        <v>278.14999999999998</v>
      </c>
      <c r="D36" s="5">
        <v>0.101325</v>
      </c>
      <c r="E36" s="4">
        <v>453.10667720162991</v>
      </c>
      <c r="F36" s="7">
        <v>3.9723306469545014</v>
      </c>
      <c r="G36" s="4">
        <v>1.1599999999999999</v>
      </c>
      <c r="H36" s="4">
        <v>1.3090660987003904</v>
      </c>
      <c r="I36" s="4">
        <f t="shared" si="0"/>
        <v>5</v>
      </c>
    </row>
    <row r="37" spans="2:25" x14ac:dyDescent="0.3">
      <c r="B37" s="2" t="s">
        <v>32</v>
      </c>
      <c r="C37" s="4">
        <v>346.62379557580101</v>
      </c>
      <c r="D37" s="5">
        <v>9.1240875912408761</v>
      </c>
      <c r="E37" s="4">
        <v>468.83049635692191</v>
      </c>
      <c r="F37" s="7">
        <v>1.8443861945514715</v>
      </c>
      <c r="G37" s="4">
        <v>0.79946350834994295</v>
      </c>
      <c r="H37" s="4">
        <v>229.07870447128417</v>
      </c>
      <c r="I37" s="4">
        <f t="shared" si="0"/>
        <v>73.473795575801034</v>
      </c>
    </row>
    <row r="38" spans="2:25" x14ac:dyDescent="0.3">
      <c r="B38" s="2" t="s">
        <v>33</v>
      </c>
      <c r="C38" s="4">
        <v>328.10044857875562</v>
      </c>
      <c r="D38" s="5">
        <v>9.1240875912408761</v>
      </c>
      <c r="E38" s="4">
        <v>427.23019535530364</v>
      </c>
      <c r="F38" s="7">
        <v>1.7207811154245041</v>
      </c>
      <c r="G38" s="4">
        <v>0.79946350834994295</v>
      </c>
      <c r="H38" s="4">
        <v>224.33125781137119</v>
      </c>
      <c r="I38" s="4">
        <f t="shared" si="0"/>
        <v>54.95044857875564</v>
      </c>
    </row>
    <row r="39" spans="2:25" x14ac:dyDescent="0.3">
      <c r="B39" s="2" t="s">
        <v>33</v>
      </c>
      <c r="C39" s="4">
        <v>328.10044857875562</v>
      </c>
      <c r="D39" s="5">
        <v>9124.0875912408756</v>
      </c>
      <c r="E39" s="4">
        <v>427.23019145290715</v>
      </c>
      <c r="F39" s="7">
        <v>1.7207811154245041</v>
      </c>
      <c r="G39" s="4">
        <v>0.79946350834994295</v>
      </c>
      <c r="H39" s="4">
        <v>224.3312539089747</v>
      </c>
      <c r="I39" s="4">
        <f t="shared" si="0"/>
        <v>54.95044857875564</v>
      </c>
    </row>
    <row r="40" spans="2:25" x14ac:dyDescent="0.3">
      <c r="B40" s="2">
        <v>7</v>
      </c>
      <c r="C40" s="4">
        <v>328.15</v>
      </c>
      <c r="D40" s="5">
        <v>9124.0875912408756</v>
      </c>
      <c r="E40" s="4">
        <v>427.37611738856413</v>
      </c>
      <c r="F40" s="7">
        <v>1.72122584179495</v>
      </c>
      <c r="G40" s="4">
        <v>0.79946350834994295</v>
      </c>
      <c r="H40" s="4">
        <v>224.34458467728319</v>
      </c>
      <c r="I40" s="4">
        <f t="shared" si="0"/>
        <v>55</v>
      </c>
    </row>
    <row r="41" spans="2:25" x14ac:dyDescent="0.3">
      <c r="B41" s="2">
        <v>19</v>
      </c>
      <c r="C41" s="4">
        <v>298.14999999999998</v>
      </c>
      <c r="D41" s="5">
        <v>101.325</v>
      </c>
      <c r="E41" s="4">
        <v>104.92011957080643</v>
      </c>
      <c r="F41" s="7">
        <v>0.36719964130372146</v>
      </c>
      <c r="G41" s="4">
        <v>3.1520540937721294E-4</v>
      </c>
      <c r="H41" s="4">
        <v>2.5073905791015251E-5</v>
      </c>
      <c r="I41" s="4">
        <f t="shared" si="0"/>
        <v>25</v>
      </c>
    </row>
    <row r="42" spans="2:25" x14ac:dyDescent="0.3">
      <c r="B42" s="2">
        <v>20</v>
      </c>
      <c r="C42" s="4">
        <v>299.14999999999998</v>
      </c>
      <c r="D42" s="5">
        <v>101.325</v>
      </c>
      <c r="E42" s="4">
        <v>109.10123710827688</v>
      </c>
      <c r="F42" s="7">
        <v>0.38119971346803067</v>
      </c>
      <c r="G42" s="4">
        <v>3.1520540937721294E-4</v>
      </c>
      <c r="H42" s="4">
        <v>7.021095587454511E-3</v>
      </c>
      <c r="I42" s="4">
        <f t="shared" si="0"/>
        <v>26</v>
      </c>
    </row>
  </sheetData>
  <mergeCells count="8">
    <mergeCell ref="S20:T20"/>
    <mergeCell ref="N26:O26"/>
    <mergeCell ref="K2:L2"/>
    <mergeCell ref="K19:L19"/>
    <mergeCell ref="Q2:R2"/>
    <mergeCell ref="Q20:R20"/>
    <mergeCell ref="N2:O2"/>
    <mergeCell ref="N14:O14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BA90F-813A-493D-869A-57A3178EDC43}">
  <dimension ref="A1:M26"/>
  <sheetViews>
    <sheetView workbookViewId="0">
      <selection activeCell="K2" sqref="K2:M2"/>
    </sheetView>
  </sheetViews>
  <sheetFormatPr baseColWidth="10" defaultRowHeight="14.4" x14ac:dyDescent="0.3"/>
  <cols>
    <col min="2" max="2" width="22.77734375" bestFit="1" customWidth="1"/>
    <col min="3" max="3" width="12.6640625" bestFit="1" customWidth="1"/>
    <col min="5" max="5" width="14.44140625" bestFit="1" customWidth="1"/>
    <col min="6" max="6" width="12.6640625" bestFit="1" customWidth="1"/>
    <col min="8" max="8" width="12.6640625" bestFit="1" customWidth="1"/>
    <col min="11" max="11" width="14.77734375" bestFit="1" customWidth="1"/>
    <col min="12" max="12" width="15.33203125" bestFit="1" customWidth="1"/>
    <col min="13" max="13" width="22.33203125" bestFit="1" customWidth="1"/>
  </cols>
  <sheetData>
    <row r="1" spans="1:13" x14ac:dyDescent="0.3">
      <c r="A1" s="1" t="s">
        <v>238</v>
      </c>
      <c r="B1" s="1" t="s">
        <v>239</v>
      </c>
      <c r="C1" s="1" t="s">
        <v>202</v>
      </c>
      <c r="E1" s="1" t="s">
        <v>227</v>
      </c>
      <c r="F1" s="1" t="s">
        <v>234</v>
      </c>
      <c r="G1" s="1" t="s">
        <v>235</v>
      </c>
      <c r="H1" s="1" t="s">
        <v>236</v>
      </c>
      <c r="I1" s="1" t="s">
        <v>237</v>
      </c>
      <c r="K1" s="1" t="s">
        <v>240</v>
      </c>
      <c r="L1" s="1" t="s">
        <v>241</v>
      </c>
      <c r="M1" s="1" t="s">
        <v>242</v>
      </c>
    </row>
    <row r="2" spans="1:13" x14ac:dyDescent="0.3">
      <c r="A2" t="s">
        <v>203</v>
      </c>
      <c r="B2">
        <v>6.2330613710360416E-2</v>
      </c>
      <c r="C2">
        <v>47.160113533787431</v>
      </c>
      <c r="E2" t="s">
        <v>66</v>
      </c>
      <c r="F2">
        <v>25.031935161652605</v>
      </c>
      <c r="G2">
        <v>1.5412694860114715</v>
      </c>
      <c r="H2">
        <v>9.6068272956146783E-2</v>
      </c>
      <c r="I2">
        <v>99.61768441648718</v>
      </c>
      <c r="K2" s="29">
        <v>0.37171801292099393</v>
      </c>
      <c r="L2" s="29">
        <v>0.61795458428505312</v>
      </c>
      <c r="M2" s="29">
        <v>0.30218738767329717</v>
      </c>
    </row>
    <row r="3" spans="1:13" x14ac:dyDescent="0.3">
      <c r="A3" t="s">
        <v>204</v>
      </c>
      <c r="B3">
        <v>6.2330613710360409E-2</v>
      </c>
      <c r="C3">
        <v>42.780063275807827</v>
      </c>
      <c r="E3" t="s">
        <v>67</v>
      </c>
      <c r="F3">
        <v>8.882596502083512</v>
      </c>
      <c r="G3">
        <v>2.8065325482354964</v>
      </c>
      <c r="H3">
        <v>0.16684153618357625</v>
      </c>
      <c r="I3">
        <v>98.156332631064402</v>
      </c>
    </row>
    <row r="4" spans="1:13" x14ac:dyDescent="0.3">
      <c r="A4" t="s">
        <v>205</v>
      </c>
      <c r="B4">
        <v>5.9447568597938295E-2</v>
      </c>
      <c r="C4">
        <v>43.783294899040605</v>
      </c>
      <c r="E4" t="s">
        <v>69</v>
      </c>
      <c r="F4">
        <v>0.27111169102991423</v>
      </c>
      <c r="G4">
        <v>3.1173934843303797</v>
      </c>
      <c r="H4">
        <v>0.94203699337955504</v>
      </c>
      <c r="I4">
        <v>22.347771094677046</v>
      </c>
    </row>
    <row r="5" spans="1:13" x14ac:dyDescent="0.3">
      <c r="A5" t="s">
        <v>206</v>
      </c>
      <c r="B5">
        <v>5.9447568597938281E-2</v>
      </c>
      <c r="C5">
        <v>36.495552061002329</v>
      </c>
      <c r="E5" t="s">
        <v>70</v>
      </c>
      <c r="F5">
        <v>6.8005339576619236E-2</v>
      </c>
      <c r="G5">
        <v>1.1383330527634061</v>
      </c>
      <c r="H5">
        <v>0.34398989151674325</v>
      </c>
      <c r="I5">
        <v>16.506341443842707</v>
      </c>
    </row>
    <row r="6" spans="1:13" x14ac:dyDescent="0.3">
      <c r="A6" t="s">
        <v>207</v>
      </c>
      <c r="B6">
        <v>5.9447568597938309E-2</v>
      </c>
      <c r="C6">
        <v>19.348775095478807</v>
      </c>
      <c r="E6" t="s">
        <v>59</v>
      </c>
      <c r="F6">
        <v>1.4503104688313615</v>
      </c>
      <c r="G6">
        <v>3.4691288051130833</v>
      </c>
      <c r="H6">
        <v>0.20623127261704369</v>
      </c>
      <c r="I6">
        <v>87.550493449279202</v>
      </c>
    </row>
    <row r="7" spans="1:13" x14ac:dyDescent="0.3">
      <c r="A7" t="s">
        <v>208</v>
      </c>
      <c r="B7">
        <v>5.9447568597938295E-2</v>
      </c>
      <c r="C7">
        <v>15.279298633423252</v>
      </c>
      <c r="E7" t="s">
        <v>60</v>
      </c>
      <c r="F7">
        <v>0.99041125343622705</v>
      </c>
      <c r="G7">
        <v>7.1429330882120778</v>
      </c>
      <c r="H7">
        <v>0.42463000475197082</v>
      </c>
      <c r="I7">
        <v>69.991687359302716</v>
      </c>
    </row>
    <row r="8" spans="1:13" x14ac:dyDescent="0.3">
      <c r="A8" t="s">
        <v>209</v>
      </c>
      <c r="B8">
        <v>1.0945431403057075E-3</v>
      </c>
      <c r="C8">
        <v>0.19630002150696768</v>
      </c>
      <c r="E8" t="s">
        <v>229</v>
      </c>
      <c r="F8">
        <v>0.55964063697403266</v>
      </c>
      <c r="G8">
        <v>9.087639387171599</v>
      </c>
      <c r="H8">
        <v>0.54023806586220946</v>
      </c>
      <c r="I8">
        <v>50.88203231237182</v>
      </c>
    </row>
    <row r="9" spans="1:13" x14ac:dyDescent="0.3">
      <c r="A9" t="s">
        <v>210</v>
      </c>
      <c r="B9">
        <v>5.6519322803764302E-2</v>
      </c>
      <c r="C9">
        <v>12.144174696753895</v>
      </c>
      <c r="E9" t="s">
        <v>230</v>
      </c>
      <c r="F9">
        <v>0.5921318853136408</v>
      </c>
      <c r="G9">
        <v>1.0330018156282741</v>
      </c>
      <c r="H9">
        <v>1.630636561151289</v>
      </c>
      <c r="I9">
        <v>26.639386853604201</v>
      </c>
    </row>
    <row r="10" spans="1:13" x14ac:dyDescent="0.3">
      <c r="A10" t="s">
        <v>211</v>
      </c>
      <c r="B10">
        <v>6.2293020965969517E-2</v>
      </c>
      <c r="C10">
        <v>17.204062412245676</v>
      </c>
      <c r="E10" t="s">
        <v>231</v>
      </c>
      <c r="F10">
        <v>7.7682084525008293E-4</v>
      </c>
      <c r="G10">
        <v>8.3949658717156963E-4</v>
      </c>
      <c r="H10">
        <v>2.5368528063802505E-4</v>
      </c>
      <c r="I10">
        <v>75.382457778269426</v>
      </c>
    </row>
    <row r="11" spans="1:13" x14ac:dyDescent="0.3">
      <c r="A11" t="s">
        <v>212</v>
      </c>
      <c r="B11">
        <v>0.12753464962125136</v>
      </c>
      <c r="C11">
        <v>8.8351632291660778</v>
      </c>
      <c r="E11" t="s">
        <v>232</v>
      </c>
      <c r="F11">
        <v>0.19480471176576394</v>
      </c>
      <c r="G11">
        <v>4.2282153795985042</v>
      </c>
      <c r="H11">
        <v>6.6744147803865523</v>
      </c>
      <c r="I11">
        <v>2.8359075145046244</v>
      </c>
    </row>
    <row r="12" spans="1:13" x14ac:dyDescent="0.3">
      <c r="A12" t="s">
        <v>213</v>
      </c>
      <c r="B12">
        <v>7.5376348286035566E-2</v>
      </c>
      <c r="C12">
        <v>26.039225641411754</v>
      </c>
      <c r="E12" t="s">
        <v>63</v>
      </c>
      <c r="F12">
        <v>0.18541322966354401</v>
      </c>
      <c r="G12">
        <v>2.3013833668177122</v>
      </c>
      <c r="H12">
        <v>0.13681164556905009</v>
      </c>
      <c r="I12">
        <v>57.541563024799281</v>
      </c>
    </row>
    <row r="13" spans="1:13" x14ac:dyDescent="0.3">
      <c r="A13" t="s">
        <v>214</v>
      </c>
      <c r="B13">
        <v>7.0803823955655404E-2</v>
      </c>
      <c r="C13">
        <v>44.636313075766651</v>
      </c>
      <c r="E13" t="s">
        <v>233</v>
      </c>
      <c r="F13">
        <v>-1.2508376609764744E-3</v>
      </c>
      <c r="G13">
        <v>-1.0659667984780519E-2</v>
      </c>
      <c r="H13">
        <v>-1.166746647067802E-5</v>
      </c>
      <c r="I13">
        <v>99.99818001487435</v>
      </c>
    </row>
    <row r="14" spans="1:13" x14ac:dyDescent="0.3">
      <c r="A14" t="s">
        <v>215</v>
      </c>
      <c r="B14">
        <v>5.9447568597938275E-2</v>
      </c>
      <c r="C14">
        <v>3.0640569428202089</v>
      </c>
      <c r="E14" s="28" t="s">
        <v>173</v>
      </c>
      <c r="F14" s="28">
        <v>0.38530984394830042</v>
      </c>
      <c r="G14" s="28">
        <v>3.0223415591440466</v>
      </c>
      <c r="H14" s="28">
        <v>0.91331350041417936</v>
      </c>
      <c r="I14" s="28">
        <v>29.670638959401796</v>
      </c>
    </row>
    <row r="15" spans="1:13" x14ac:dyDescent="0.3">
      <c r="A15" t="s">
        <v>216</v>
      </c>
      <c r="B15">
        <v>5.9447568597938281E-2</v>
      </c>
      <c r="C15">
        <v>12.215241690603039</v>
      </c>
    </row>
    <row r="16" spans="1:13" x14ac:dyDescent="0.3">
      <c r="A16" t="s">
        <v>217</v>
      </c>
      <c r="B16">
        <v>5.9447568597938275E-2</v>
      </c>
      <c r="C16">
        <v>1.0887231563140623E-2</v>
      </c>
    </row>
    <row r="17" spans="1:3" x14ac:dyDescent="0.3">
      <c r="A17" t="s">
        <v>218</v>
      </c>
      <c r="B17">
        <v>1.0945431403057205E-3</v>
      </c>
      <c r="C17">
        <v>0.19630046122668465</v>
      </c>
    </row>
    <row r="18" spans="1:3" x14ac:dyDescent="0.3">
      <c r="A18" t="s">
        <v>228</v>
      </c>
      <c r="B18">
        <v>2E-3</v>
      </c>
      <c r="C18">
        <v>1.5806861479085264E-11</v>
      </c>
    </row>
    <row r="19" spans="1:3" x14ac:dyDescent="0.3">
      <c r="A19" t="s">
        <v>219</v>
      </c>
      <c r="B19">
        <v>-565.00162484106477</v>
      </c>
      <c r="C19">
        <v>-1.25039792545502E-3</v>
      </c>
    </row>
    <row r="20" spans="1:3" x14ac:dyDescent="0.3">
      <c r="A20" t="s">
        <v>220</v>
      </c>
      <c r="B20">
        <v>1.5785418152043924</v>
      </c>
      <c r="C20">
        <v>21.091738972349887</v>
      </c>
    </row>
    <row r="21" spans="1:3" x14ac:dyDescent="0.3">
      <c r="A21" t="s">
        <v>221</v>
      </c>
      <c r="B21">
        <v>1.5785418152043924</v>
      </c>
      <c r="C21">
        <v>8.1303859832807976</v>
      </c>
    </row>
    <row r="22" spans="1:3" x14ac:dyDescent="0.3">
      <c r="A22" t="s">
        <v>222</v>
      </c>
      <c r="B22">
        <v>88.665374580191326</v>
      </c>
      <c r="C22">
        <v>8.3251906950465617</v>
      </c>
    </row>
    <row r="23" spans="1:3" x14ac:dyDescent="0.3">
      <c r="A23" t="s">
        <v>223</v>
      </c>
      <c r="B23">
        <v>84.175302539602072</v>
      </c>
      <c r="C23">
        <v>8.3277438763359566</v>
      </c>
    </row>
    <row r="24" spans="1:3" x14ac:dyDescent="0.3">
      <c r="A24" t="s">
        <v>224</v>
      </c>
      <c r="B24">
        <v>0.61795458428505312</v>
      </c>
      <c r="C24">
        <v>2.5526236937473641</v>
      </c>
    </row>
    <row r="25" spans="1:3" x14ac:dyDescent="0.3">
      <c r="A25" t="s">
        <v>225</v>
      </c>
      <c r="B25">
        <v>0</v>
      </c>
      <c r="C25">
        <v>0</v>
      </c>
    </row>
    <row r="26" spans="1:3" x14ac:dyDescent="0.3">
      <c r="A26" s="28" t="s">
        <v>226</v>
      </c>
      <c r="B26" s="28">
        <v>0.30218738767329717</v>
      </c>
      <c r="C26" s="28">
        <v>2.1673138497990636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0693F-D387-4367-8A44-8725A6CA7BA7}">
  <dimension ref="A1:AF33"/>
  <sheetViews>
    <sheetView topLeftCell="T1" workbookViewId="0">
      <selection activeCell="U21" sqref="U21"/>
    </sheetView>
  </sheetViews>
  <sheetFormatPr baseColWidth="10" defaultRowHeight="14.4" x14ac:dyDescent="0.3"/>
  <sheetData>
    <row r="1" spans="1:32" x14ac:dyDescent="0.3">
      <c r="B1" t="s">
        <v>130</v>
      </c>
      <c r="C1" t="s">
        <v>37</v>
      </c>
      <c r="D1" t="s">
        <v>38</v>
      </c>
      <c r="E1" t="s">
        <v>39</v>
      </c>
      <c r="F1" t="s">
        <v>131</v>
      </c>
      <c r="G1" t="s">
        <v>132</v>
      </c>
      <c r="H1" t="s">
        <v>133</v>
      </c>
      <c r="I1" t="s">
        <v>134</v>
      </c>
      <c r="J1" t="s">
        <v>193</v>
      </c>
      <c r="K1" t="s">
        <v>194</v>
      </c>
      <c r="L1" t="s">
        <v>195</v>
      </c>
      <c r="M1" t="s">
        <v>135</v>
      </c>
      <c r="N1" t="s">
        <v>136</v>
      </c>
      <c r="O1" t="s">
        <v>137</v>
      </c>
      <c r="P1" t="s">
        <v>138</v>
      </c>
      <c r="Q1" t="s">
        <v>139</v>
      </c>
      <c r="R1" t="s">
        <v>140</v>
      </c>
      <c r="S1" t="s">
        <v>141</v>
      </c>
      <c r="T1" t="s">
        <v>142</v>
      </c>
      <c r="U1" t="s">
        <v>143</v>
      </c>
      <c r="V1" t="s">
        <v>144</v>
      </c>
      <c r="W1" t="s">
        <v>145</v>
      </c>
      <c r="X1" t="s">
        <v>146</v>
      </c>
      <c r="Y1" t="s">
        <v>147</v>
      </c>
      <c r="Z1" t="s">
        <v>148</v>
      </c>
      <c r="AA1" t="s">
        <v>149</v>
      </c>
      <c r="AB1" t="s">
        <v>150</v>
      </c>
      <c r="AC1" t="s">
        <v>151</v>
      </c>
      <c r="AD1" t="s">
        <v>152</v>
      </c>
      <c r="AE1" t="s">
        <v>153</v>
      </c>
      <c r="AF1" t="s">
        <v>190</v>
      </c>
    </row>
    <row r="2" spans="1:32" x14ac:dyDescent="0.3">
      <c r="A2" t="s">
        <v>154</v>
      </c>
      <c r="B2" t="s">
        <v>155</v>
      </c>
      <c r="C2">
        <v>1</v>
      </c>
      <c r="D2">
        <v>-1</v>
      </c>
      <c r="X2">
        <v>-1</v>
      </c>
    </row>
    <row r="3" spans="1:32" x14ac:dyDescent="0.3">
      <c r="A3" t="s">
        <v>176</v>
      </c>
      <c r="B3">
        <v>0</v>
      </c>
      <c r="C3">
        <v>-1</v>
      </c>
      <c r="D3" t="s">
        <v>177</v>
      </c>
    </row>
    <row r="4" spans="1:32" x14ac:dyDescent="0.3">
      <c r="A4" t="s">
        <v>156</v>
      </c>
      <c r="B4" t="s">
        <v>157</v>
      </c>
      <c r="E4">
        <v>1</v>
      </c>
      <c r="F4">
        <v>-1</v>
      </c>
      <c r="Z4">
        <v>-1</v>
      </c>
    </row>
    <row r="5" spans="1:32" x14ac:dyDescent="0.3">
      <c r="A5" t="s">
        <v>187</v>
      </c>
      <c r="B5">
        <v>0</v>
      </c>
      <c r="E5">
        <v>-1</v>
      </c>
      <c r="F5" t="s">
        <v>178</v>
      </c>
    </row>
    <row r="6" spans="1:32" x14ac:dyDescent="0.3">
      <c r="A6" t="s">
        <v>37</v>
      </c>
      <c r="B6" t="s">
        <v>158</v>
      </c>
      <c r="M6">
        <v>1</v>
      </c>
      <c r="N6">
        <v>-1</v>
      </c>
      <c r="AA6">
        <v>1</v>
      </c>
    </row>
    <row r="7" spans="1:32" x14ac:dyDescent="0.3">
      <c r="A7" t="s">
        <v>38</v>
      </c>
      <c r="B7" t="s">
        <v>159</v>
      </c>
      <c r="J7">
        <v>1</v>
      </c>
      <c r="P7">
        <v>-1</v>
      </c>
      <c r="AB7">
        <v>1</v>
      </c>
    </row>
    <row r="8" spans="1:32" x14ac:dyDescent="0.3">
      <c r="A8" t="s">
        <v>59</v>
      </c>
      <c r="B8" t="s">
        <v>160</v>
      </c>
      <c r="F8">
        <v>1</v>
      </c>
      <c r="G8">
        <v>-1</v>
      </c>
      <c r="Q8">
        <v>1</v>
      </c>
      <c r="R8">
        <v>-1</v>
      </c>
    </row>
    <row r="9" spans="1:32" x14ac:dyDescent="0.3">
      <c r="A9" t="s">
        <v>179</v>
      </c>
      <c r="B9">
        <v>0</v>
      </c>
      <c r="F9">
        <v>-1</v>
      </c>
      <c r="G9" t="s">
        <v>181</v>
      </c>
    </row>
    <row r="10" spans="1:32" x14ac:dyDescent="0.3">
      <c r="A10" t="s">
        <v>60</v>
      </c>
      <c r="B10" t="s">
        <v>161</v>
      </c>
      <c r="G10">
        <v>1</v>
      </c>
      <c r="H10">
        <v>-1</v>
      </c>
      <c r="N10">
        <v>1</v>
      </c>
      <c r="O10">
        <v>-1</v>
      </c>
    </row>
    <row r="11" spans="1:32" x14ac:dyDescent="0.3">
      <c r="A11" t="s">
        <v>180</v>
      </c>
      <c r="B11">
        <v>0</v>
      </c>
      <c r="G11">
        <v>-1</v>
      </c>
      <c r="H11" t="s">
        <v>182</v>
      </c>
    </row>
    <row r="12" spans="1:32" x14ac:dyDescent="0.3">
      <c r="A12" t="s">
        <v>183</v>
      </c>
      <c r="B12">
        <v>0</v>
      </c>
      <c r="O12">
        <v>1</v>
      </c>
      <c r="P12">
        <v>1</v>
      </c>
      <c r="Q12">
        <v>-1</v>
      </c>
    </row>
    <row r="13" spans="1:32" x14ac:dyDescent="0.3">
      <c r="A13" t="s">
        <v>162</v>
      </c>
      <c r="B13" t="s">
        <v>163</v>
      </c>
      <c r="K13">
        <v>-1</v>
      </c>
      <c r="L13">
        <v>1</v>
      </c>
    </row>
    <row r="14" spans="1:32" x14ac:dyDescent="0.3">
      <c r="A14" t="s">
        <v>198</v>
      </c>
      <c r="B14">
        <v>0</v>
      </c>
      <c r="K14" t="s">
        <v>199</v>
      </c>
      <c r="L14">
        <v>-1</v>
      </c>
    </row>
    <row r="15" spans="1:32" x14ac:dyDescent="0.3">
      <c r="A15" t="s">
        <v>64</v>
      </c>
      <c r="B15" t="s">
        <v>164</v>
      </c>
      <c r="K15">
        <v>1</v>
      </c>
      <c r="M15">
        <v>-1</v>
      </c>
      <c r="W15">
        <v>-1</v>
      </c>
    </row>
    <row r="16" spans="1:32" x14ac:dyDescent="0.3">
      <c r="A16" t="s">
        <v>184</v>
      </c>
      <c r="B16">
        <v>0</v>
      </c>
      <c r="K16">
        <v>-1</v>
      </c>
      <c r="M16" t="s">
        <v>185</v>
      </c>
    </row>
    <row r="17" spans="1:32" x14ac:dyDescent="0.3">
      <c r="A17" t="s">
        <v>165</v>
      </c>
      <c r="B17" t="s">
        <v>166</v>
      </c>
      <c r="S17">
        <v>1</v>
      </c>
      <c r="T17">
        <v>-1</v>
      </c>
      <c r="AE17">
        <v>-1</v>
      </c>
    </row>
    <row r="18" spans="1:32" x14ac:dyDescent="0.3">
      <c r="A18" t="s">
        <v>186</v>
      </c>
      <c r="B18">
        <v>0</v>
      </c>
      <c r="S18">
        <v>-1</v>
      </c>
      <c r="T18" t="s">
        <v>188</v>
      </c>
    </row>
    <row r="19" spans="1:32" x14ac:dyDescent="0.3">
      <c r="A19" t="s">
        <v>167</v>
      </c>
      <c r="B19" t="s">
        <v>168</v>
      </c>
      <c r="U19">
        <v>1</v>
      </c>
      <c r="V19">
        <v>-1</v>
      </c>
      <c r="AF19">
        <v>1</v>
      </c>
    </row>
    <row r="20" spans="1:32" x14ac:dyDescent="0.3">
      <c r="A20" t="s">
        <v>189</v>
      </c>
      <c r="B20">
        <v>0</v>
      </c>
      <c r="AE20" t="s">
        <v>191</v>
      </c>
      <c r="AF20">
        <v>-1</v>
      </c>
    </row>
    <row r="21" spans="1:32" x14ac:dyDescent="0.3">
      <c r="A21" t="s">
        <v>169</v>
      </c>
      <c r="B21" t="s">
        <v>170</v>
      </c>
      <c r="T21">
        <v>1</v>
      </c>
      <c r="U21">
        <v>-1</v>
      </c>
    </row>
    <row r="22" spans="1:32" x14ac:dyDescent="0.3">
      <c r="A22" t="s">
        <v>175</v>
      </c>
      <c r="B22">
        <v>0</v>
      </c>
      <c r="T22">
        <v>-1</v>
      </c>
      <c r="U22" t="s">
        <v>200</v>
      </c>
    </row>
    <row r="23" spans="1:32" x14ac:dyDescent="0.3">
      <c r="A23" t="s">
        <v>171</v>
      </c>
      <c r="B23" t="s">
        <v>172</v>
      </c>
      <c r="I23">
        <v>1</v>
      </c>
      <c r="L23">
        <v>-1</v>
      </c>
      <c r="S23">
        <v>-1</v>
      </c>
      <c r="V23">
        <v>1</v>
      </c>
    </row>
    <row r="24" spans="1:32" x14ac:dyDescent="0.3">
      <c r="A24" t="s">
        <v>192</v>
      </c>
      <c r="B24">
        <v>0</v>
      </c>
      <c r="I24">
        <v>-1</v>
      </c>
      <c r="K24" t="s">
        <v>196</v>
      </c>
    </row>
    <row r="25" spans="1:32" x14ac:dyDescent="0.3">
      <c r="A25" t="s">
        <v>173</v>
      </c>
      <c r="B25" t="s">
        <v>174</v>
      </c>
      <c r="W25">
        <v>1</v>
      </c>
      <c r="Y25">
        <v>1</v>
      </c>
      <c r="AC25">
        <v>-1</v>
      </c>
      <c r="AD25">
        <v>-1</v>
      </c>
    </row>
    <row r="32" spans="1:32" x14ac:dyDescent="0.3">
      <c r="A32" t="s">
        <v>197</v>
      </c>
    </row>
    <row r="33" spans="1:1" x14ac:dyDescent="0.3">
      <c r="A33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</vt:lpstr>
      <vt:lpstr>rc</vt:lpstr>
      <vt:lpstr>nt</vt:lpstr>
      <vt:lpstr>nc</vt:lpstr>
      <vt:lpstr>Energy_Exergy</vt:lpstr>
      <vt:lpstr>Exergoeconomico</vt:lpstr>
      <vt:lpstr>EXERGO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Iglesias</dc:creator>
  <cp:lastModifiedBy>Adrian Iglesias</cp:lastModifiedBy>
  <dcterms:created xsi:type="dcterms:W3CDTF">2026-01-05T23:58:20Z</dcterms:created>
  <dcterms:modified xsi:type="dcterms:W3CDTF">2026-04-12T00:08:31Z</dcterms:modified>
</cp:coreProperties>
</file>