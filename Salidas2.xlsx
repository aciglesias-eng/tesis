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13_ncr:1_{844686C0-C07A-4839-ABFE-08290BF84FA6}" xr6:coauthVersionLast="47" xr6:coauthVersionMax="47" xr10:uidLastSave="{00000000-0000-0000-0000-000000000000}"/>
  <bookViews>
    <workbookView xWindow="-108" yWindow="-108" windowWidth="23256" windowHeight="13176" activeTab="1" xr2:uid="{CF02B92B-2D8F-4FEC-929D-C7C25E98E6C0}"/>
  </bookViews>
  <sheets>
    <sheet name="Hoja1" sheetId="1" r:id="rId1"/>
    <sheet name="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E15" i="2" s="1"/>
  <c r="H15" i="2" s="1"/>
  <c r="I15" i="2" s="1"/>
  <c r="G16" i="2"/>
  <c r="E16" i="2" s="1"/>
  <c r="H16" i="2" s="1"/>
  <c r="I16" i="2" s="1"/>
  <c r="G17" i="2"/>
  <c r="E17" i="2" s="1"/>
  <c r="H17" i="2" s="1"/>
  <c r="I17" i="2" s="1"/>
  <c r="G18" i="2"/>
  <c r="E18" i="2" s="1"/>
  <c r="H18" i="2" s="1"/>
  <c r="I18" i="2" s="1"/>
  <c r="G19" i="2"/>
  <c r="E19" i="2" s="1"/>
  <c r="H19" i="2" s="1"/>
  <c r="I19" i="2" s="1"/>
  <c r="G20" i="2"/>
  <c r="E20" i="2" s="1"/>
  <c r="H20" i="2" s="1"/>
  <c r="I20" i="2" s="1"/>
  <c r="G14" i="2"/>
  <c r="E14" i="2" s="1"/>
  <c r="H14" i="2" s="1"/>
  <c r="I14" i="2" s="1"/>
  <c r="G29" i="2"/>
  <c r="E29" i="2" s="1"/>
  <c r="H29" i="2" s="1"/>
  <c r="I29" i="2" s="1"/>
  <c r="G28" i="2"/>
  <c r="E28" i="2" s="1"/>
  <c r="H28" i="2" s="1"/>
  <c r="I28" i="2" s="1"/>
  <c r="G27" i="2"/>
  <c r="E27" i="2" s="1"/>
  <c r="H27" i="2" s="1"/>
  <c r="I27" i="2" s="1"/>
  <c r="G26" i="2"/>
  <c r="E26" i="2" s="1"/>
  <c r="H26" i="2" s="1"/>
  <c r="I26" i="2" s="1"/>
  <c r="G25" i="2"/>
  <c r="E25" i="2" s="1"/>
  <c r="H25" i="2" s="1"/>
  <c r="I25" i="2" s="1"/>
  <c r="G24" i="2"/>
  <c r="E24" i="2" s="1"/>
  <c r="H24" i="2" s="1"/>
  <c r="I24" i="2" s="1"/>
</calcChain>
</file>

<file path=xl/sharedStrings.xml><?xml version="1.0" encoding="utf-8"?>
<sst xmlns="http://schemas.openxmlformats.org/spreadsheetml/2006/main" count="62" uniqueCount="41">
  <si>
    <t>Configuration</t>
  </si>
  <si>
    <t>Input parameters</t>
  </si>
  <si>
    <t>Value</t>
  </si>
  <si>
    <t>Reference</t>
  </si>
  <si>
    <t>Brayton SRC</t>
  </si>
  <si>
    <t>High system pressure</t>
  </si>
  <si>
    <t>Turbine inlet temperature</t>
  </si>
  <si>
    <t>Compressor efficiency</t>
  </si>
  <si>
    <t>Turbine efficiency</t>
  </si>
  <si>
    <t>Heat exchanger effectiveness</t>
  </si>
  <si>
    <t>Temperature Pinch Difference</t>
  </si>
  <si>
    <t>Mass flow</t>
  </si>
  <si>
    <t>Working fluid</t>
  </si>
  <si>
    <t>25 Mpa</t>
  </si>
  <si>
    <t>500-850°C</t>
  </si>
  <si>
    <t>5°C</t>
  </si>
  <si>
    <t>1kg/s</t>
  </si>
  <si>
    <t>CO2</t>
  </si>
  <si>
    <t>[Padilla]</t>
  </si>
  <si>
    <t>RORC</t>
  </si>
  <si>
    <t>Thermal Source Temperature</t>
  </si>
  <si>
    <t>74-84 °C</t>
  </si>
  <si>
    <t>Pump efficiency</t>
  </si>
  <si>
    <t>R123</t>
  </si>
  <si>
    <t>Cooling water temperature</t>
  </si>
  <si>
    <t>20°C</t>
  </si>
  <si>
    <t>[el chino]</t>
  </si>
  <si>
    <t>PEM</t>
  </si>
  <si>
    <t>0–50 at.%</t>
  </si>
  <si>
    <t>6 wt.%</t>
  </si>
  <si>
    <t>5 wt.%</t>
  </si>
  <si>
    <t>10 cm²</t>
  </si>
  <si>
    <t>80 °C</t>
  </si>
  <si>
    <t>Iridium content (Ir)</t>
  </si>
  <si>
    <t>PTFE content</t>
  </si>
  <si>
    <t>Nafion content</t>
  </si>
  <si>
    <t>Active cell area</t>
  </si>
  <si>
    <t>Operating temperature</t>
  </si>
  <si>
    <t>[loroi loroi]</t>
  </si>
  <si>
    <t>Current density</t>
  </si>
  <si>
    <t>1016-4743,72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</si>
</sst>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A7C-99B3-497D-BEBF-4033AC903CC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223E-C6EB-4057-B1F4-E0AE341432FB}">
  <dimension ref="B3:I52"/>
  <sheetViews>
    <sheetView tabSelected="1" topLeftCell="B31" workbookViewId="0">
      <selection activeCell="F52" sqref="C32:F52"/>
    </sheetView>
  </sheetViews>
  <sheetFormatPr baseColWidth="10" defaultColWidth="4.109375" defaultRowHeight="14.4" x14ac:dyDescent="0.3"/>
  <cols>
    <col min="1" max="1" width="4.109375" style="3"/>
    <col min="2" max="2" width="4" style="3" bestFit="1" customWidth="1"/>
    <col min="3" max="3" width="12" style="3" bestFit="1" customWidth="1"/>
    <col min="4" max="4" width="25.6640625" style="3" bestFit="1" customWidth="1"/>
    <col min="5" max="5" width="12.21875" style="3" bestFit="1" customWidth="1"/>
    <col min="6" max="6" width="10" style="3" bestFit="1" customWidth="1"/>
    <col min="7" max="7" width="8" style="3" bestFit="1" customWidth="1"/>
    <col min="8" max="8" width="12" style="3" bestFit="1" customWidth="1"/>
    <col min="9" max="9" width="3.44140625" style="3" bestFit="1" customWidth="1"/>
    <col min="10" max="16384" width="4.109375" style="3"/>
  </cols>
  <sheetData>
    <row r="3" spans="2:9" x14ac:dyDescent="0.3">
      <c r="B3" s="3">
        <v>72</v>
      </c>
      <c r="C3" s="3">
        <v>9.4806331685906198</v>
      </c>
      <c r="I3" s="4"/>
    </row>
    <row r="4" spans="2:9" x14ac:dyDescent="0.3">
      <c r="B4" s="3">
        <v>74</v>
      </c>
      <c r="C4" s="3">
        <v>9.5422355788307502</v>
      </c>
      <c r="I4" s="4"/>
    </row>
    <row r="5" spans="2:9" x14ac:dyDescent="0.3">
      <c r="B5" s="3">
        <v>76</v>
      </c>
      <c r="C5" s="3">
        <v>9.6038379890708807</v>
      </c>
      <c r="I5" s="4"/>
    </row>
    <row r="6" spans="2:9" x14ac:dyDescent="0.3">
      <c r="B6" s="3">
        <v>78</v>
      </c>
      <c r="C6" s="3">
        <v>9.6654403993110094</v>
      </c>
      <c r="I6" s="4"/>
    </row>
    <row r="7" spans="2:9" x14ac:dyDescent="0.3">
      <c r="B7" s="3">
        <v>80</v>
      </c>
      <c r="C7" s="3">
        <v>9.7270428095511399</v>
      </c>
      <c r="I7" s="4"/>
    </row>
    <row r="8" spans="2:9" x14ac:dyDescent="0.3">
      <c r="B8" s="3">
        <v>82</v>
      </c>
      <c r="C8" s="3">
        <v>9.7886452197912703</v>
      </c>
      <c r="I8" s="4"/>
    </row>
    <row r="9" spans="2:9" x14ac:dyDescent="0.3">
      <c r="B9" s="3">
        <v>84</v>
      </c>
      <c r="C9" s="3">
        <v>9.8502476300314008</v>
      </c>
      <c r="I9" s="4"/>
    </row>
    <row r="10" spans="2:9" x14ac:dyDescent="0.3">
      <c r="B10" s="3">
        <v>112</v>
      </c>
      <c r="C10" s="3">
        <v>9.9118500402715295</v>
      </c>
      <c r="I10" s="4"/>
    </row>
    <row r="11" spans="2:9" x14ac:dyDescent="0.3">
      <c r="B11" s="3">
        <v>114</v>
      </c>
      <c r="C11" s="3">
        <v>9.97345245051166</v>
      </c>
      <c r="I11" s="4"/>
    </row>
    <row r="12" spans="2:9" x14ac:dyDescent="0.3">
      <c r="B12" s="3">
        <v>116</v>
      </c>
      <c r="C12" s="3">
        <v>10.035054860751799</v>
      </c>
      <c r="I12" s="4"/>
    </row>
    <row r="13" spans="2:9" x14ac:dyDescent="0.3">
      <c r="B13" s="3">
        <v>118</v>
      </c>
      <c r="C13" s="3">
        <v>10.0966572709919</v>
      </c>
      <c r="I13" s="4"/>
    </row>
    <row r="14" spans="2:9" x14ac:dyDescent="0.3">
      <c r="B14" s="3">
        <v>120</v>
      </c>
      <c r="C14" s="3">
        <v>10.158259681232099</v>
      </c>
      <c r="E14" s="3">
        <f t="shared" ref="E14:E20" si="0">4352.64+G14</f>
        <v>5125.6400000000003</v>
      </c>
      <c r="F14" s="3">
        <v>693</v>
      </c>
      <c r="G14" s="3">
        <f>F14+80</f>
        <v>773</v>
      </c>
      <c r="H14" s="3">
        <f>E14*8/4352.64</f>
        <v>9.420746948978092</v>
      </c>
      <c r="I14" s="4">
        <f t="shared" ref="I14:I20" si="1">ABS(C14-H14)/H14</f>
        <v>7.8286014500581452E-2</v>
      </c>
    </row>
    <row r="15" spans="2:9" x14ac:dyDescent="0.3">
      <c r="B15" s="3">
        <v>122</v>
      </c>
      <c r="C15" s="3">
        <v>10.2198620914722</v>
      </c>
      <c r="E15" s="3">
        <f t="shared" si="0"/>
        <v>5290.79</v>
      </c>
      <c r="F15" s="3">
        <v>858.15</v>
      </c>
      <c r="G15" s="3">
        <f t="shared" ref="G15:G20" si="2">F15+80</f>
        <v>938.15</v>
      </c>
      <c r="H15" s="3">
        <f>E15*8/4352.64</f>
        <v>9.7242868695780018</v>
      </c>
      <c r="I15" s="4">
        <f t="shared" si="1"/>
        <v>5.0962628780993988E-2</v>
      </c>
    </row>
    <row r="16" spans="2:9" x14ac:dyDescent="0.3">
      <c r="B16" s="3">
        <v>124</v>
      </c>
      <c r="C16" s="3">
        <v>10.2814645017123</v>
      </c>
      <c r="E16" s="3">
        <f t="shared" si="0"/>
        <v>5450.55</v>
      </c>
      <c r="F16" s="3">
        <v>1017.91</v>
      </c>
      <c r="G16" s="3">
        <f t="shared" si="2"/>
        <v>1097.9099999999999</v>
      </c>
      <c r="H16" s="3">
        <f>E16*8/4352.64</f>
        <v>10.017920158800177</v>
      </c>
      <c r="I16" s="4">
        <f t="shared" si="1"/>
        <v>2.6307291207608031E-2</v>
      </c>
    </row>
    <row r="17" spans="2:9" x14ac:dyDescent="0.3">
      <c r="B17" s="3">
        <v>126</v>
      </c>
      <c r="C17" s="3">
        <v>10.3430669119524</v>
      </c>
      <c r="E17" s="3">
        <f t="shared" si="0"/>
        <v>5603.4400000000005</v>
      </c>
      <c r="F17" s="3">
        <v>1170.8</v>
      </c>
      <c r="G17" s="3">
        <f t="shared" si="2"/>
        <v>1250.8</v>
      </c>
      <c r="H17" s="3">
        <f>E17*8/4352.64</f>
        <v>10.298926628436995</v>
      </c>
      <c r="I17" s="4">
        <f t="shared" si="1"/>
        <v>4.2859110573258202E-3</v>
      </c>
    </row>
    <row r="18" spans="2:9" x14ac:dyDescent="0.3">
      <c r="B18" s="3">
        <v>128</v>
      </c>
      <c r="C18" s="3">
        <v>10.4046693221926</v>
      </c>
      <c r="E18" s="3">
        <f t="shared" si="0"/>
        <v>5760.38</v>
      </c>
      <c r="F18" s="3">
        <v>1327.74</v>
      </c>
      <c r="G18" s="3">
        <f t="shared" si="2"/>
        <v>1407.74</v>
      </c>
      <c r="H18" s="3">
        <f>E18*8/4352.64</f>
        <v>10.587376856344655</v>
      </c>
      <c r="I18" s="4">
        <f t="shared" si="1"/>
        <v>1.7257110673505906E-2</v>
      </c>
    </row>
    <row r="19" spans="2:9" x14ac:dyDescent="0.3">
      <c r="B19" s="3">
        <v>130</v>
      </c>
      <c r="C19" s="3">
        <v>10.466121607946853</v>
      </c>
      <c r="D19" s="3">
        <v>1012.0224649626635</v>
      </c>
      <c r="E19" s="3">
        <f t="shared" si="0"/>
        <v>5906.47</v>
      </c>
      <c r="F19" s="3">
        <v>1473.83</v>
      </c>
      <c r="G19" s="3">
        <f t="shared" si="2"/>
        <v>1553.83</v>
      </c>
      <c r="H19" s="3">
        <f>E19*8/4352.64</f>
        <v>10.855885163946478</v>
      </c>
      <c r="I19" s="4">
        <f t="shared" si="1"/>
        <v>3.5903433954337552E-2</v>
      </c>
    </row>
    <row r="20" spans="2:9" x14ac:dyDescent="0.3">
      <c r="B20" s="3">
        <v>132</v>
      </c>
      <c r="C20" s="3">
        <v>10.528174391644564</v>
      </c>
      <c r="D20" s="3">
        <v>1070.7547725184418</v>
      </c>
      <c r="E20" s="3">
        <f t="shared" si="0"/>
        <v>6051.4000000000005</v>
      </c>
      <c r="F20" s="3">
        <v>1618.76</v>
      </c>
      <c r="G20" s="3">
        <f t="shared" si="2"/>
        <v>1698.76</v>
      </c>
      <c r="H20" s="3">
        <f>E20*8/4352.64</f>
        <v>11.122261432142333</v>
      </c>
      <c r="I20" s="4">
        <f t="shared" si="1"/>
        <v>5.3414230920782957E-2</v>
      </c>
    </row>
    <row r="21" spans="2:9" x14ac:dyDescent="0.3">
      <c r="B21" s="3">
        <v>134</v>
      </c>
      <c r="C21" s="3">
        <v>10.589326428427116</v>
      </c>
      <c r="D21" s="3">
        <v>1128.7183980095638</v>
      </c>
      <c r="I21" s="4"/>
    </row>
    <row r="24" spans="2:9" x14ac:dyDescent="0.3">
      <c r="B24" s="3">
        <v>122</v>
      </c>
      <c r="C24" s="3">
        <v>10.2198620914722</v>
      </c>
      <c r="E24" s="3">
        <f t="shared" ref="E24:E29" si="3">4352.64+G24</f>
        <v>5270.79</v>
      </c>
      <c r="F24" s="3">
        <v>858.15</v>
      </c>
      <c r="G24" s="3">
        <f t="shared" ref="G24:G29" si="4">F24+60</f>
        <v>918.15</v>
      </c>
      <c r="H24" s="3">
        <f>E24*8/4352.64</f>
        <v>9.6875275694750762</v>
      </c>
      <c r="I24" s="4">
        <f t="shared" ref="I24:I29" si="5">ABS(C24-H24)/H24</f>
        <v>5.4950503952575405E-2</v>
      </c>
    </row>
    <row r="25" spans="2:9" x14ac:dyDescent="0.3">
      <c r="B25" s="3">
        <v>124</v>
      </c>
      <c r="C25" s="3">
        <v>10.2814645017123</v>
      </c>
      <c r="E25" s="3">
        <f t="shared" si="3"/>
        <v>5430.55</v>
      </c>
      <c r="F25" s="3">
        <v>1017.91</v>
      </c>
      <c r="G25" s="3">
        <f t="shared" si="4"/>
        <v>1077.9099999999999</v>
      </c>
      <c r="H25" s="3">
        <f>E25*8/4352.64</f>
        <v>9.9811608586972493</v>
      </c>
      <c r="I25" s="4">
        <f t="shared" si="5"/>
        <v>3.0087045712060233E-2</v>
      </c>
    </row>
    <row r="26" spans="2:9" x14ac:dyDescent="0.3">
      <c r="B26" s="3">
        <v>126</v>
      </c>
      <c r="C26" s="3">
        <v>10.3430669119524</v>
      </c>
      <c r="E26" s="3">
        <f t="shared" si="3"/>
        <v>5583.4400000000005</v>
      </c>
      <c r="F26" s="3">
        <v>1170.8</v>
      </c>
      <c r="G26" s="3">
        <f t="shared" si="4"/>
        <v>1230.8</v>
      </c>
      <c r="H26" s="3">
        <f>E26*8/4352.64</f>
        <v>10.262167328334069</v>
      </c>
      <c r="I26" s="4">
        <f t="shared" si="5"/>
        <v>7.8832844008463517E-3</v>
      </c>
    </row>
    <row r="27" spans="2:9" x14ac:dyDescent="0.3">
      <c r="B27" s="3">
        <v>128</v>
      </c>
      <c r="C27" s="3">
        <v>10.4046693221926</v>
      </c>
      <c r="E27" s="3">
        <f t="shared" si="3"/>
        <v>5740.38</v>
      </c>
      <c r="F27" s="3">
        <v>1327.74</v>
      </c>
      <c r="G27" s="3">
        <f t="shared" si="4"/>
        <v>1387.74</v>
      </c>
      <c r="H27" s="3">
        <f>E27*8/4352.64</f>
        <v>10.550617556241729</v>
      </c>
      <c r="I27" s="4">
        <f t="shared" si="5"/>
        <v>1.3833146095110462E-2</v>
      </c>
    </row>
    <row r="28" spans="2:9" x14ac:dyDescent="0.3">
      <c r="B28" s="3">
        <v>130</v>
      </c>
      <c r="C28" s="3">
        <v>10.466121607946853</v>
      </c>
      <c r="D28" s="3">
        <v>1012.0224649626635</v>
      </c>
      <c r="E28" s="3">
        <f t="shared" si="3"/>
        <v>5886.47</v>
      </c>
      <c r="F28" s="3">
        <v>1473.83</v>
      </c>
      <c r="G28" s="3">
        <f t="shared" si="4"/>
        <v>1533.83</v>
      </c>
      <c r="H28" s="3">
        <f>E28*8/4352.64</f>
        <v>10.819125863843553</v>
      </c>
      <c r="I28" s="4">
        <f t="shared" si="5"/>
        <v>3.2627798247213756E-2</v>
      </c>
    </row>
    <row r="29" spans="2:9" x14ac:dyDescent="0.3">
      <c r="B29" s="3">
        <v>132</v>
      </c>
      <c r="C29" s="3">
        <v>10.528174391644564</v>
      </c>
      <c r="D29" s="3">
        <v>1070.7547725184418</v>
      </c>
      <c r="E29" s="3">
        <f t="shared" si="3"/>
        <v>6031.4000000000005</v>
      </c>
      <c r="F29" s="3">
        <v>1618.76</v>
      </c>
      <c r="G29" s="3">
        <f t="shared" si="4"/>
        <v>1678.76</v>
      </c>
      <c r="H29" s="3">
        <f>E29*8/4352.64</f>
        <v>11.085502132039407</v>
      </c>
      <c r="I29" s="4">
        <f t="shared" si="5"/>
        <v>5.0275371720334618E-2</v>
      </c>
    </row>
    <row r="32" spans="2:9" x14ac:dyDescent="0.3">
      <c r="C32" s="5" t="s">
        <v>0</v>
      </c>
      <c r="D32" s="5" t="s">
        <v>1</v>
      </c>
      <c r="E32" s="5" t="s">
        <v>2</v>
      </c>
      <c r="F32" s="5" t="s">
        <v>3</v>
      </c>
    </row>
    <row r="33" spans="3:6" x14ac:dyDescent="0.3">
      <c r="C33" s="6" t="s">
        <v>4</v>
      </c>
      <c r="D33" s="7" t="s">
        <v>5</v>
      </c>
      <c r="E33" s="7" t="s">
        <v>13</v>
      </c>
      <c r="F33" s="7" t="s">
        <v>18</v>
      </c>
    </row>
    <row r="34" spans="3:6" x14ac:dyDescent="0.3">
      <c r="C34" s="8"/>
      <c r="D34" s="9" t="s">
        <v>6</v>
      </c>
      <c r="E34" s="9" t="s">
        <v>14</v>
      </c>
      <c r="F34" s="9" t="s">
        <v>18</v>
      </c>
    </row>
    <row r="35" spans="3:6" x14ac:dyDescent="0.3">
      <c r="C35" s="8"/>
      <c r="D35" s="9" t="s">
        <v>7</v>
      </c>
      <c r="E35" s="10">
        <v>0.9</v>
      </c>
      <c r="F35" s="9" t="s">
        <v>18</v>
      </c>
    </row>
    <row r="36" spans="3:6" x14ac:dyDescent="0.3">
      <c r="C36" s="8"/>
      <c r="D36" s="9" t="s">
        <v>8</v>
      </c>
      <c r="E36" s="10">
        <v>0.93</v>
      </c>
      <c r="F36" s="9" t="s">
        <v>18</v>
      </c>
    </row>
    <row r="37" spans="3:6" x14ac:dyDescent="0.3">
      <c r="C37" s="8"/>
      <c r="D37" s="9" t="s">
        <v>9</v>
      </c>
      <c r="E37" s="10">
        <v>0.95</v>
      </c>
      <c r="F37" s="9" t="s">
        <v>18</v>
      </c>
    </row>
    <row r="38" spans="3:6" x14ac:dyDescent="0.3">
      <c r="C38" s="8"/>
      <c r="D38" s="9" t="s">
        <v>10</v>
      </c>
      <c r="E38" s="9" t="s">
        <v>15</v>
      </c>
      <c r="F38" s="9" t="s">
        <v>18</v>
      </c>
    </row>
    <row r="39" spans="3:6" x14ac:dyDescent="0.3">
      <c r="C39" s="8"/>
      <c r="D39" s="9" t="s">
        <v>11</v>
      </c>
      <c r="E39" s="9" t="s">
        <v>16</v>
      </c>
      <c r="F39" s="9" t="s">
        <v>18</v>
      </c>
    </row>
    <row r="40" spans="3:6" x14ac:dyDescent="0.3">
      <c r="C40" s="11"/>
      <c r="D40" s="12" t="s">
        <v>12</v>
      </c>
      <c r="E40" s="12" t="s">
        <v>17</v>
      </c>
      <c r="F40" s="12" t="s">
        <v>18</v>
      </c>
    </row>
    <row r="41" spans="3:6" x14ac:dyDescent="0.3">
      <c r="C41" s="6" t="s">
        <v>19</v>
      </c>
      <c r="D41" s="7" t="s">
        <v>24</v>
      </c>
      <c r="E41" s="7" t="s">
        <v>25</v>
      </c>
      <c r="F41" s="7" t="s">
        <v>26</v>
      </c>
    </row>
    <row r="42" spans="3:6" x14ac:dyDescent="0.3">
      <c r="C42" s="8"/>
      <c r="D42" s="9" t="s">
        <v>10</v>
      </c>
      <c r="E42" s="9" t="s">
        <v>15</v>
      </c>
      <c r="F42" s="9" t="s">
        <v>26</v>
      </c>
    </row>
    <row r="43" spans="3:6" x14ac:dyDescent="0.3">
      <c r="C43" s="8"/>
      <c r="D43" s="9" t="s">
        <v>20</v>
      </c>
      <c r="E43" s="9" t="s">
        <v>21</v>
      </c>
      <c r="F43" s="9" t="s">
        <v>26</v>
      </c>
    </row>
    <row r="44" spans="3:6" x14ac:dyDescent="0.3">
      <c r="C44" s="8"/>
      <c r="D44" s="9" t="s">
        <v>8</v>
      </c>
      <c r="E44" s="9">
        <v>0.8</v>
      </c>
      <c r="F44" s="9" t="s">
        <v>26</v>
      </c>
    </row>
    <row r="45" spans="3:6" x14ac:dyDescent="0.3">
      <c r="C45" s="8"/>
      <c r="D45" s="9" t="s">
        <v>22</v>
      </c>
      <c r="E45" s="9">
        <v>0.75</v>
      </c>
      <c r="F45" s="9" t="s">
        <v>26</v>
      </c>
    </row>
    <row r="46" spans="3:6" x14ac:dyDescent="0.3">
      <c r="C46" s="11"/>
      <c r="D46" s="12" t="s">
        <v>12</v>
      </c>
      <c r="E46" s="12" t="s">
        <v>23</v>
      </c>
      <c r="F46" s="12" t="s">
        <v>26</v>
      </c>
    </row>
    <row r="47" spans="3:6" x14ac:dyDescent="0.3">
      <c r="C47" s="6" t="s">
        <v>27</v>
      </c>
      <c r="D47" s="1" t="s">
        <v>33</v>
      </c>
      <c r="E47" s="1" t="s">
        <v>28</v>
      </c>
      <c r="F47" s="9" t="s">
        <v>38</v>
      </c>
    </row>
    <row r="48" spans="3:6" x14ac:dyDescent="0.3">
      <c r="C48" s="8"/>
      <c r="D48" s="1" t="s">
        <v>34</v>
      </c>
      <c r="E48" s="1" t="s">
        <v>29</v>
      </c>
      <c r="F48" s="9" t="s">
        <v>38</v>
      </c>
    </row>
    <row r="49" spans="3:6" x14ac:dyDescent="0.3">
      <c r="C49" s="8"/>
      <c r="D49" s="1" t="s">
        <v>35</v>
      </c>
      <c r="E49" s="1" t="s">
        <v>30</v>
      </c>
      <c r="F49" s="9" t="s">
        <v>38</v>
      </c>
    </row>
    <row r="50" spans="3:6" x14ac:dyDescent="0.3">
      <c r="C50" s="8"/>
      <c r="D50" s="1" t="s">
        <v>36</v>
      </c>
      <c r="E50" s="1" t="s">
        <v>31</v>
      </c>
      <c r="F50" s="9" t="s">
        <v>38</v>
      </c>
    </row>
    <row r="51" spans="3:6" x14ac:dyDescent="0.3">
      <c r="C51" s="8"/>
      <c r="D51" s="1" t="s">
        <v>39</v>
      </c>
      <c r="E51" s="1" t="s">
        <v>40</v>
      </c>
      <c r="F51" s="9" t="s">
        <v>38</v>
      </c>
    </row>
    <row r="52" spans="3:6" x14ac:dyDescent="0.3">
      <c r="C52" s="11"/>
      <c r="D52" s="2" t="s">
        <v>37</v>
      </c>
      <c r="E52" s="2" t="s">
        <v>32</v>
      </c>
      <c r="F52" s="12" t="s">
        <v>38</v>
      </c>
    </row>
  </sheetData>
  <mergeCells count="3">
    <mergeCell ref="C33:C40"/>
    <mergeCell ref="C41:C46"/>
    <mergeCell ref="C47:C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2026-05-07T13:23:11Z</dcterms:created>
  <dcterms:modified xsi:type="dcterms:W3CDTF">2026-05-12T10:12:35Z</dcterms:modified>
</cp:coreProperties>
</file>